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f9d8f7b774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303d8daa02842a8"/>
    <x:sheet xmlns:r="http://schemas.openxmlformats.org/officeDocument/2006/relationships" name="参数" sheetId="2" r:id="Rf8289dead4474cb4"/>
    <x:sheet xmlns:r="http://schemas.openxmlformats.org/officeDocument/2006/relationships" name="候选城市评分" sheetId="3" r:id="R8331cd5098c94904"/>
    <x:sheet xmlns:r="http://schemas.openxmlformats.org/officeDocument/2006/relationships" name="日粒度弱信号样本" sheetId="4" r:id="Rf58b5fa8c8564b96"/>
    <x:sheet xmlns:r="http://schemas.openxmlformats.org/officeDocument/2006/relationships" name="特征字典" sheetId="5" r:id="R383def4a78e54a3d"/>
    <x:sheet xmlns:r="http://schemas.openxmlformats.org/officeDocument/2006/relationships" name="回测协议" sheetId="6" r:id="R48ad32cf65ba494d"/>
    <x:sheet xmlns:r="http://schemas.openxmlformats.org/officeDocument/2006/relationships" name="评测看板" sheetId="7" r:id="Rd27cb4fe70314384"/>
    <x:sheet xmlns:r="http://schemas.openxmlformats.org/officeDocument/2006/relationships" name="参考资料" sheetId="8" r:id="R4d04c3d1f796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11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23149"/>
      <x:name val="Carlito"/>
    </x:font>
    <x:font>
      <x:b/>
      <x:sz val="12"/>
      <x:color rgb="FFFFFFFF"/>
      <x:name val="Carlito"/>
    </x:font>
    <x:font>
      <x:sz val="10"/>
      <x:color rgb="FF8A4B1E"/>
      <x:name val="Carlito"/>
    </x:font>
    <x:font>
      <x:b/>
      <x:sz val="10"/>
      <x:color rgb="FF163047"/>
      <x:name val="Carlito"/>
    </x:font>
    <x:font>
      <x:b/>
      <x:sz val="11"/>
      <x:color rgb="FF0B1F33"/>
      <x:name val="Carlito"/>
    </x:font>
    <x:font>
      <x:sz val="10"/>
      <x:color rgb="FF5E7386"/>
      <x:name val="Carlito"/>
    </x:font>
    <x:font>
      <x:b/>
      <x:sz val="10"/>
      <x:color rgb="FF8A4B1E"/>
      <x:name val="Carlito"/>
    </x:font>
    <x:font>
      <x:sz val="10"/>
      <x:color rgb="FF163047"/>
      <x:name val="Carlito"/>
    </x:font>
    <x:font>
      <x:b/>
      <x:sz val="13"/>
      <x:color rgb="FF12314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FF6F8"/>
      </x:patternFill>
    </x:fill>
    <x:fill>
      <x:patternFill patternType="solid">
        <x:fgColor rgb="FF123149"/>
      </x:patternFill>
    </x:fill>
    <x:fill>
      <x:patternFill patternType="solid">
        <x:fgColor rgb="FFFFF4EA"/>
      </x:patternFill>
    </x:fill>
    <x:fill>
      <x:patternFill patternType="solid">
        <x:fgColor rgb="FFE8F1F7"/>
      </x:patternFill>
    </x:fill>
    <x:fill>
      <x:patternFill patternType="solid">
        <x:fgColor rgb="FFF5F8FB"/>
      </x:patternFill>
    </x:fill>
    <x:fill>
      <x:patternFill patternType="solid">
        <x:fgColor rgb="FFE8F4F7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horizont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10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horizontal="center" wrapText="1"/>
    </x:xf>
    <x:xf numFmtId="0" fontId="10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187A59"/>
      </x:font>
      <x:fill>
        <x:patternFill patternType="solid">
          <x:bgColor rgb="FFD1F2E5"/>
        </x:patternFill>
      </x:fill>
    </x:dxf>
    <x:dxf>
      <x:font>
        <x:b/>
        <x:color rgb="FFA65A1E"/>
      </x:font>
      <x:fill>
        <x:patternFill patternType="solid">
          <x:bgColor rgb="FFFFF0DE"/>
        </x:patternFill>
      </x:fill>
    </x:dxf>
    <x:dxf>
      <x:font>
        <x:color rgb="FF5D7181"/>
      </x:font>
      <x:fill>
        <x:patternFill patternType="solid">
          <x:bgColor rgb="FFE9EE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56938e4994c13" /><Relationship Type="http://schemas.openxmlformats.org/officeDocument/2006/relationships/theme" Target="/xl/theme/theme1.xml" Id="R94e49141c33d4fb3" /><Relationship Type="http://schemas.openxmlformats.org/officeDocument/2006/relationships/sharedStrings" Target="/xl/sharedStrings.xml" Id="R2b0652e35e3a4891" /><Relationship Type="http://schemas.openxmlformats.org/officeDocument/2006/relationships/worksheet" Target="/xl/worksheets/sheet1.xml" Id="R5303d8daa02842a8" /><Relationship Type="http://schemas.openxmlformats.org/officeDocument/2006/relationships/worksheet" Target="/xl/worksheets/sheet2.xml" Id="Rf8289dead4474cb4" /><Relationship Type="http://schemas.openxmlformats.org/officeDocument/2006/relationships/worksheet" Target="/xl/worksheets/sheet3.xml" Id="R8331cd5098c94904" /><Relationship Type="http://schemas.openxmlformats.org/officeDocument/2006/relationships/worksheet" Target="/xl/worksheets/sheet4.xml" Id="Rf58b5fa8c8564b96" /><Relationship Type="http://schemas.openxmlformats.org/officeDocument/2006/relationships/worksheet" Target="/xl/worksheets/sheet5.xml" Id="R383def4a78e54a3d" /><Relationship Type="http://schemas.openxmlformats.org/officeDocument/2006/relationships/worksheet" Target="/xl/worksheets/sheet6.xml" Id="R48ad32cf65ba494d" /><Relationship Type="http://schemas.openxmlformats.org/officeDocument/2006/relationships/worksheet" Target="/xl/worksheets/sheet7.xml" Id="Rd27cb4fe70314384" /><Relationship Type="http://schemas.openxmlformats.org/officeDocument/2006/relationships/worksheet" Target="/xl/worksheets/sheet8.xml" Id="R4d04c3d1f79646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a97d251835469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4c66cf997fb4ff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c221ffdcf4b42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候选城市综合潜力分（模拟）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综合分（模拟）</c:v>
          </c:tx>
          <c:cat>
            <c:strRef>
              <c:f>'候选城市评分'!$B$19:$B$28</c:f>
              <c:strCache>
                <c:ptCount val="0"/>
              </c:strCache>
            </c:strRef>
          </c:cat>
          <c:val>
            <c:numRef>
              <c:f>'候选城市评分'!$C$19:$C$28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时间截断回测曲线（模拟）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天水综合分</c:v>
          </c:tx>
          <c:cat>
            <c:strRef>
              <c:f>'日粒度弱信号样本'!$R$6:$R$46</c:f>
              <c:strCache>
                <c:ptCount val="0"/>
              </c:strCache>
            </c:strRef>
          </c:cat>
          <c:val>
            <c:numRef>
              <c:f>'日粒度弱信号样本'!$S$6:$S$46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对照城市A综合分</c:v>
          </c:tx>
          <c:cat>
            <c:strRef>
              <c:f>'日粒度弱信号样本'!$R$6:$R$46</c:f>
              <c:strCache>
                <c:ptCount val="0"/>
              </c:strCache>
            </c:strRef>
          </c:cat>
          <c:val>
            <c:numRef>
              <c:f>'日粒度弱信号样本'!$T$6:$T$46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行动阈值</c:v>
          </c:tx>
          <c:cat>
            <c:strRef>
              <c:f>'日粒度弱信号样本'!$R$6:$R$46</c:f>
              <c:strCache>
                <c:ptCount val="0"/>
              </c:strCache>
            </c:strRef>
          </c:cat>
          <c:val>
            <c:numRef>
              <c:f>'日粒度弱信号样本'!$U$6:$U$46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综合潜力分（模拟）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综合分</c:v>
          </c:tx>
          <c:cat>
            <c:strRef>
              <c:f>'评测看板'!$H$12:$H$16</c:f>
              <c:strCache>
                <c:ptCount val="0"/>
              </c:strCache>
            </c:strRef>
          </c:cat>
          <c:val>
            <c:numRef>
              <c:f>'评测看板'!$I$12:$I$16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17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a97d251835469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22</xdr:col>
      <xdr:colOff>0</xdr:colOff>
      <xdr:row>4</xdr:row>
      <xdr:rowOff>0</xdr:rowOff>
    </xdr:from>
    <xdr:to>
      <xdr:col>31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c66cf997fb4ff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17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221ffdcf4b422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rametersTable" displayName="ParametersTable" ref="A4:D16" headerRowCount="1">
  <x:tableColumns count="4">
    <x:tableColumn id="1" name="参数组"/>
    <x:tableColumn id="2" name="参数名"/>
    <x:tableColumn id="3" name="值"/>
    <x:tableColumn id="4" name="说明"/>
  </x:tableColumns>
  <x:tableStyleInfo name="TableStyleMedium2" showRowStripes="1"/>
</x:table>
</file>

<file path=xl/tables/table2.xml><?xml version="1.0" encoding="utf-8"?>
<x:table xmlns:x="http://schemas.openxmlformats.org/spreadsheetml/2006/main" id="2" name="CandidateScoreTable" displayName="CandidateScoreTable" ref="A5:Q15" headerRowCount="1">
  <x:tableColumns count="17">
    <x:tableColumn id="1" name="排名"/>
    <x:tableColumn id="2" name="城市"/>
    <x:tableColumn id="3" name="省份"/>
    <x:tableColumn id="4" name="样本类型"/>
    <x:tableColumn id="5" name="内容增速"/>
    <x:tableColumn id="6" name="搜索增速"/>
    <x:tableColumn id="7" name="事件触发"/>
    <x:tableColumn id="8" name="可达性"/>
    <x:tableColumn id="9" name="供给承载"/>
    <x:tableColumn id="10" name="天气适配"/>
    <x:tableColumn id="11" name="新奇度"/>
    <x:tableColumn id="12" name="跨域扩散"/>
    <x:tableColumn id="13" name="风险压力"/>
    <x:tableColumn id="14" name="综合分"/>
    <x:tableColumn id="15" name="置信度"/>
    <x:tableColumn id="16" name="行动等级"/>
    <x:tableColumn id="17" name="说明"/>
  </x:tableColumns>
  <x:tableStyleInfo name="TableStyleMedium2" showRowStripes="1"/>
</x:table>
</file>

<file path=xl/tables/table3.xml><?xml version="1.0" encoding="utf-8"?>
<x:table xmlns:x="http://schemas.openxmlformats.org/spreadsheetml/2006/main" id="3" name="DailySignalTable" displayName="DailySignalTable" ref="A5:P210" headerRowCount="1">
  <x:tableColumns count="16">
    <x:tableColumn id="1" name="案例ID"/>
    <x:tableColumn id="2" name="城市"/>
    <x:tableColumn id="3" name="案例类型"/>
    <x:tableColumn id="4" name="相对日"/>
    <x:tableColumn id="5" name="内容增速"/>
    <x:tableColumn id="6" name="搜索增速"/>
    <x:tableColumn id="7" name="事件触发"/>
    <x:tableColumn id="8" name="可达性"/>
    <x:tableColumn id="9" name="供给承载"/>
    <x:tableColumn id="10" name="天气适配"/>
    <x:tableColumn id="11" name="新奇度"/>
    <x:tableColumn id="12" name="跨域扩散"/>
    <x:tableColumn id="13" name="风险压力"/>
    <x:tableColumn id="14" name="综合分"/>
    <x:tableColumn id="15" name="未来爆火标签"/>
    <x:tableColumn id="16" name="数据状态"/>
  </x:tableColumns>
  <x:tableStyleInfo name="TableStyleMedium2" showRowStripes="1"/>
</x:table>
</file>

<file path=xl/tables/table4.xml><?xml version="1.0" encoding="utf-8"?>
<x:table xmlns:x="http://schemas.openxmlformats.org/spreadsheetml/2006/main" id="4" name="FeatureDictionaryTable" displayName="FeatureDictionaryTable" ref="A4:F14" headerRowCount="1">
  <x:tableColumns count="6">
    <x:tableColumn id="1" name="字段"/>
    <x:tableColumn id="2" name="中文名"/>
    <x:tableColumn id="3" name="范围"/>
    <x:tableColumn id="4" name="定义"/>
    <x:tableColumn id="5" name="来源计划"/>
    <x:tableColumn id="6" name="合规说明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Table" displayName="ReferenceTable" ref="A5:D15" headerRowCount="1">
  <x:tableColumns count="4">
    <x:tableColumn id="1" name="发布方"/>
    <x:tableColumn id="2" name="资料/接口"/>
    <x:tableColumn id="3" name="URL"/>
    <x:tableColumn id="4" name="在方案中的用途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00783ffc6b42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eae0df265354dfc" /><Relationship Type="http://schemas.openxmlformats.org/officeDocument/2006/relationships/table" Target="/xl/tables/table2.xml" Id="R078858c7d98440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37e39bfa8afd46fd" /><Relationship Type="http://schemas.openxmlformats.org/officeDocument/2006/relationships/table" Target="/xl/tables/table3.xml" Id="Rd3d4d981225c4d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e3acf6694b49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1d849822f48a42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c2502db05246455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27" hidden="0" customWidth="1"/>
    <x:col min="4" max="4" width="14" hidden="0" customWidth="1"/>
    <x:col min="5" max="5" width="3" hidden="0" customWidth="1"/>
    <x:col min="6" max="6" width="11" hidden="0" customWidth="1"/>
    <x:col min="7" max="7" width="23" hidden="0" customWidth="1"/>
    <x:col min="8" max="8" width="29" hidden="0" customWidth="1"/>
  </x:cols>
  <x:sheetData>
    <x:row r="1" ht="28" customHeight="1">
      <x:c r="A1" s="5" t="str">
        <x:v>CityPulse 热城先知｜数据字典与回测样例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>
      <x:c r="A3" s="12" t="str">
        <x:v>云上码术 · 面向去哪儿的爆火小城预测与产品生成智能体</x:v>
      </x:c>
      <x:c r="B3" s="12"/>
      <x:c r="C3" s="12"/>
      <x:c r="D3" s="12"/>
      <x:c r="E3" s="12"/>
      <x:c r="F3" s="12"/>
      <x:c r="G3" s="12"/>
      <x:c r="H3" s="12"/>
    </x:row>
    <x:row r="5">
      <x:c r="A5" s="19" t="str">
        <x:v>真实性与使用边界</x:v>
      </x:c>
      <x:c r="B5" s="19"/>
      <x:c r="C5" s="19"/>
      <x:c r="D5" s="19"/>
      <x:c r="E5" s="19"/>
      <x:c r="F5" s="19"/>
      <x:c r="G5" s="19"/>
      <x:c r="H5" s="19"/>
    </x:row>
    <x:row r="6" ht="24" customHeight="1">
      <x:c r="A6" s="27" t="str">
        <x:v>本工作簿中的候选城市、数值、排名和曲线均为“模拟数据 / 方法演示”，用于证明字段设计、计算逻辑、回测流程与可视化能力，不构成对任何城市的真实预测，也不代表团队已取得模型成绩。正式结果必须在合法获取的数据上，按时间截断回测协议重新生成。</x:v>
      </x:c>
      <x:c r="B6" s="27"/>
      <x:c r="C6" s="27"/>
      <x:c r="D6" s="27"/>
      <x:c r="E6" s="27"/>
      <x:c r="F6" s="27"/>
      <x:c r="G6" s="27"/>
      <x:c r="H6" s="27"/>
    </x:row>
    <x:row r="7" ht="24" customHeight="1">
      <x:c r="A7" s="27"/>
      <x:c r="B7" s="27"/>
      <x:c r="C7" s="27"/>
      <x:c r="D7" s="27"/>
      <x:c r="E7" s="27"/>
      <x:c r="F7" s="27"/>
      <x:c r="G7" s="27"/>
      <x:c r="H7" s="27"/>
    </x:row>
    <x:row r="8" ht="24" customHeight="1">
      <x:c r="A8" s="27"/>
      <x:c r="B8" s="27"/>
      <x:c r="C8" s="27"/>
      <x:c r="D8" s="27"/>
      <x:c r="E8" s="27"/>
      <x:c r="F8" s="27"/>
      <x:c r="G8" s="27"/>
      <x:c r="H8" s="27"/>
    </x:row>
    <x:row r="10">
      <x:c r="A10" s="19" t="str">
        <x:v>文件内容</x:v>
      </x:c>
      <x:c r="B10" s="19"/>
      <x:c r="C10" s="19"/>
      <x:c r="D10" s="19"/>
      <x:c r="F10" s="19" t="str">
        <x:v>建议海选展示顺序</x:v>
      </x:c>
      <x:c r="G10" s="19"/>
      <x:c r="H10" s="19"/>
    </x:row>
    <x:row r="11">
      <x:c r="A11" s="36" t="str">
        <x:v>工作表</x:v>
      </x:c>
      <x:c r="B11" s="36" t="str">
        <x:v>用途</x:v>
      </x:c>
      <x:c r="C11" s="36" t="str">
        <x:v>关键输出</x:v>
      </x:c>
      <x:c r="D11" s="36" t="str">
        <x:v>是否可编辑</x:v>
      </x:c>
      <x:c r="F11" s="36" t="str">
        <x:v>顺序</x:v>
      </x:c>
      <x:c r="G11" s="36" t="str">
        <x:v>材料</x:v>
      </x:c>
      <x:c r="H11" s="36" t="str">
        <x:v>评委看到的价值</x:v>
      </x:c>
    </x:row>
    <x:row r="12">
      <x:c r="A12" s="42" t="str">
        <x:v>参数</x:v>
      </x:c>
      <x:c r="B12" s="42" t="str">
        <x:v>集中管理特征权重、风险扣分和行动阈值</x:v>
      </x:c>
      <x:c r="C12" s="42" t="str">
        <x:v>公式不使用散落魔法数</x:v>
      </x:c>
      <x:c r="D12" s="42" t="str">
        <x:v>是</x:v>
      </x:c>
      <x:c r="F12" s="42" t="n">
        <x:v>1</x:v>
      </x:c>
      <x:c r="G12" s="42" t="str">
        <x:v>主 PDF</x:v>
      </x:c>
      <x:c r="H12" s="42" t="str">
        <x:v>问题、架构、创新、回测协议、产品闭环</x:v>
      </x:c>
    </x:row>
    <x:row r="13">
      <x:c r="A13" s="42" t="str">
        <x:v>候选城市评分</x:v>
      </x:c>
      <x:c r="B13" s="42" t="str">
        <x:v>展示城市特征、综合分、置信度与行动等级</x:v>
      </x:c>
      <x:c r="C13" s="42" t="str">
        <x:v>排序与双阈值</x:v>
      </x:c>
      <x:c r="D13" s="42" t="str">
        <x:v>输入列可编辑</x:v>
      </x:c>
      <x:c r="F13" s="42" t="n">
        <x:v>2</x:v>
      </x:c>
      <x:c r="G13" s="42" t="str">
        <x:v>本工作簿</x:v>
      </x:c>
      <x:c r="H13" s="42" t="str">
        <x:v>数据与验证不是口号，可直接查看字段和公式</x:v>
      </x:c>
    </x:row>
    <x:row r="14">
      <x:c r="A14" s="42" t="str">
        <x:v>日粒度弱信号样本</x:v>
      </x:c>
      <x:c r="B14" s="42" t="str">
        <x:v>演示正例模板与对照组的时序结构</x:v>
      </x:c>
      <x:c r="C14" s="42" t="str">
        <x:v>城市-日期面板</x:v>
      </x:c>
      <x:c r="D14" s="42" t="str">
        <x:v>是</x:v>
      </x:c>
      <x:c r="F14" s="42" t="n">
        <x:v>3</x:v>
      </x:c>
      <x:c r="G14" s="42" t="str">
        <x:v>GitHub/Gitee 仓库</x:v>
      </x:c>
      <x:c r="H14" s="42" t="str">
        <x:v>代码、静态原型、数据样本、文档均可核验</x:v>
      </x:c>
    </x:row>
    <x:row r="15">
      <x:c r="A15" s="42" t="str">
        <x:v>特征字典</x:v>
      </x:c>
      <x:c r="B15" s="42" t="str">
        <x:v>说明每个字段、来源计划和合规边界</x:v>
      </x:c>
      <x:c r="C15" s="42" t="str">
        <x:v>可审计数据合同</x:v>
      </x:c>
      <x:c r="D15" s="42" t="str">
        <x:v>是</x:v>
      </x:c>
      <x:c r="F15" s="42" t="n">
        <x:v>4</x:v>
      </x:c>
      <x:c r="G15" s="42" t="str">
        <x:v>CityMuse 既有项目</x:v>
      </x:c>
      <x:c r="H15" s="42" t="str">
        <x:v>城市探索与用户体验能力可复用</x:v>
      </x:c>
    </x:row>
    <x:row r="16">
      <x:c r="A16" s="42" t="str">
        <x:v>回测协议</x:v>
      </x:c>
      <x:c r="B16" s="42" t="str">
        <x:v>说明时间切分、防泄漏、指标与对照实验</x:v>
      </x:c>
      <x:c r="C16" s="42" t="str">
        <x:v>可复现实验设计</x:v>
      </x:c>
      <x:c r="D16" s="42" t="str">
        <x:v>是</x:v>
      </x:c>
      <x:c r="F16" s="42" t="n">
        <x:v>5</x:v>
      </x:c>
      <x:c r="G16" s="42" t="str">
        <x:v>团队项目证明</x:v>
      </x:c>
      <x:c r="H16" s="42" t="str">
        <x:v>三人分工与工程交付能力</x:v>
      </x:c>
    </x:row>
    <x:row r="17">
      <x:c r="A17" s="42" t="str">
        <x:v>评测看板</x:v>
      </x:c>
      <x:c r="B17" s="42" t="str">
        <x:v>展示目标门槛、状态与样例图</x:v>
      </x:c>
      <x:c r="C17" s="42" t="str">
        <x:v>不把目标写成结果</x:v>
      </x:c>
      <x:c r="D17" s="42" t="str">
        <x:v>部分</x:v>
      </x:c>
      <x:c r="F17" s="42" t="str">
        <x:v>注意</x:v>
      </x:c>
      <x:c r="G17" s="42" t="str">
        <x:v>只提交真实、可打开、可复核的内容</x:v>
      </x:c>
      <x:c r="H17" s="42" t="str">
        <x:v>不得伪造排名、访谈或模型成绩</x:v>
      </x:c>
    </x:row>
    <x:row r="18">
      <x:c r="A18" s="42" t="str">
        <x:v>参考资料</x:v>
      </x:c>
      <x:c r="B18" s="42" t="str">
        <x:v>列出官方/权威数据源与用途</x:v>
      </x:c>
      <x:c r="C18" s="42" t="str">
        <x:v>可点击 URL</x:v>
      </x:c>
      <x:c r="D18" s="42" t="str">
        <x:v>是</x:v>
      </x:c>
    </x:row>
    <x:row r="20" ht="32" customHeight="1">
      <x:c r="A20" s="46" t="str">
        <x:v>核心记忆句：我们不是在猜下一座城市，而是在它火之前，帮去哪儿先准备好供给、内容和用户体验。</x:v>
      </x:c>
      <x:c r="B20" s="46"/>
      <x:c r="C20" s="46"/>
      <x:c r="D20" s="46"/>
      <x:c r="E20" s="46"/>
      <x:c r="F20" s="46"/>
      <x:c r="G20" s="46"/>
      <x:c r="H20" s="46"/>
    </x:row>
  </x:sheetData>
  <x:mergeCells>
    <x:mergeCell ref="A1:H2"/>
    <x:mergeCell ref="A3:H3"/>
    <x:mergeCell ref="A5:H5"/>
    <x:mergeCell ref="A6:H8"/>
    <x:mergeCell ref="A10:D10"/>
    <x:mergeCell ref="F10:H10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3" hidden="0" customWidth="1"/>
    <x:col min="4" max="4" width="42" hidden="0" customWidth="1"/>
    <x:col min="6" max="6" width="10" hidden="0" customWidth="1"/>
  </x:cols>
  <x:sheetData>
    <x:row r="1">
      <x:c r="A1" s="5" t="str">
        <x:v>CityPulse 参数中心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36" t="str">
        <x:v>参数组</x:v>
      </x:c>
      <x:c r="B4" s="36" t="str">
        <x:v>参数名</x:v>
      </x:c>
      <x:c r="C4" s="36" t="str">
        <x:v>值</x:v>
      </x:c>
      <x:c r="D4" s="36" t="str">
        <x:v>说明</x:v>
      </x:c>
    </x:row>
    <x:row r="5">
      <x:c r="A5" s="42" t="str">
        <x:v>特征权重</x:v>
      </x:c>
      <x:c r="B5" s="42" t="str">
        <x:v>内容传播增速</x:v>
      </x:c>
      <x:c r="C5" s="62" t="n">
        <x:v>0.22</x:v>
      </x:c>
      <x:c r="D5" s="42" t="str">
        <x:v>内容量、互动与跨圈层扩散</x:v>
      </x:c>
    </x:row>
    <x:row r="6">
      <x:c r="A6" s="42" t="str">
        <x:v>特征权重</x:v>
      </x:c>
      <x:c r="B6" s="42" t="str">
        <x:v>搜索需求增速</x:v>
      </x:c>
      <x:c r="C6" s="62" t="n">
        <x:v>0.18</x:v>
      </x:c>
      <x:c r="D6" s="42" t="str">
        <x:v>城市/景点/美食关键词相对增长</x:v>
      </x:c>
    </x:row>
    <x:row r="7">
      <x:c r="A7" s="42" t="str">
        <x:v>特征权重</x:v>
      </x:c>
      <x:c r="B7" s="42" t="str">
        <x:v>事件触发强度</x:v>
      </x:c>
      <x:c r="C7" s="62" t="n">
        <x:v>0.12</x:v>
      </x:c>
      <x:c r="D7" s="42" t="str">
        <x:v>演出、赛事、节庆、影视等</x:v>
      </x:c>
    </x:row>
    <x:row r="8">
      <x:c r="A8" s="42" t="str">
        <x:v>特征权重</x:v>
      </x:c>
      <x:c r="B8" s="42" t="str">
        <x:v>客源可达性</x:v>
      </x:c>
      <x:c r="C8" s="62" t="n">
        <x:v>0.12</x:v>
      </x:c>
      <x:c r="D8" s="42" t="str">
        <x:v>时间、班次、换乘与成本</x:v>
      </x:c>
    </x:row>
    <x:row r="9">
      <x:c r="A9" s="42" t="str">
        <x:v>特征权重</x:v>
      </x:c>
      <x:c r="B9" s="42" t="str">
        <x:v>供给承载力</x:v>
      </x:c>
      <x:c r="C9" s="62" t="n">
        <x:v>0.1</x:v>
      </x:c>
      <x:c r="D9" s="42" t="str">
        <x:v>住宿、景点、餐饮与服务设施</x:v>
      </x:c>
    </x:row>
    <x:row r="10">
      <x:c r="A10" s="42" t="str">
        <x:v>特征权重</x:v>
      </x:c>
      <x:c r="B10" s="42" t="str">
        <x:v>气象适配度</x:v>
      </x:c>
      <x:c r="C10" s="62" t="n">
        <x:v>0.08</x:v>
      </x:c>
      <x:c r="D10" s="42" t="str">
        <x:v>天气与主题玩法匹配</x:v>
      </x:c>
    </x:row>
    <x:row r="11">
      <x:c r="A11" s="42" t="str">
        <x:v>特征权重</x:v>
      </x:c>
      <x:c r="B11" s="42" t="str">
        <x:v>内容新奇度</x:v>
      </x:c>
      <x:c r="C11" s="62" t="n">
        <x:v>0.08</x:v>
      </x:c>
      <x:c r="D11" s="42" t="str">
        <x:v>地方性、可讲述性与差异化</x:v>
      </x:c>
    </x:row>
    <x:row r="12">
      <x:c r="A12" s="42" t="str">
        <x:v>特征权重</x:v>
      </x:c>
      <x:c r="B12" s="42" t="str">
        <x:v>跨区域扩散</x:v>
      </x:c>
      <x:c r="C12" s="62" t="n">
        <x:v>0.1</x:v>
      </x:c>
      <x:c r="D12" s="42" t="str">
        <x:v>是否从本地扩展到多客源地</x:v>
      </x:c>
    </x:row>
    <x:row r="13">
      <x:c r="A13" s="42" t="str">
        <x:v>风险扣分</x:v>
      </x:c>
      <x:c r="B13" s="42" t="str">
        <x:v>风险压力</x:v>
      </x:c>
      <x:c r="C13" s="62" t="n">
        <x:v>0.15</x:v>
      </x:c>
      <x:c r="D13" s="42" t="str">
        <x:v>拥挤、价格、舆情与安全风险</x:v>
      </x:c>
    </x:row>
    <x:row r="14">
      <x:c r="A14" s="42" t="str">
        <x:v>阈值</x:v>
      </x:c>
      <x:c r="B14" s="42" t="str">
        <x:v>行动阈值</x:v>
      </x:c>
      <x:c r="C14" s="63" t="n">
        <x:v>68</x:v>
      </x:c>
      <x:c r="D14" s="42" t="str">
        <x:v>综合分达到且置信度达标</x:v>
      </x:c>
    </x:row>
    <x:row r="15">
      <x:c r="A15" s="42" t="str">
        <x:v>阈值</x:v>
      </x:c>
      <x:c r="B15" s="42" t="str">
        <x:v>观察阈值</x:v>
      </x:c>
      <x:c r="C15" s="63" t="n">
        <x:v>58</x:v>
      </x:c>
      <x:c r="D15" s="42" t="str">
        <x:v>进入运营观察池</x:v>
      </x:c>
    </x:row>
    <x:row r="16">
      <x:c r="A16" s="42" t="str">
        <x:v>阈值</x:v>
      </x:c>
      <x:c r="B16" s="42" t="str">
        <x:v>最低置信度</x:v>
      </x:c>
      <x:c r="C16" s="62" t="n">
        <x:v>0.8</x:v>
      </x:c>
      <x:c r="D16" s="42" t="str">
        <x:v>行动前需达到的概率/置信度</x:v>
      </x:c>
    </x:row>
    <x:row r="18">
      <x:c r="A18" s="36" t="str">
        <x:v>检查项</x:v>
      </x:c>
      <x:c r="B18" s="36" t="str">
        <x:v>结果</x:v>
      </x:c>
    </x:row>
    <x:row r="19">
      <x:c r="A19" t="str">
        <x:v>正向权重合计</x:v>
      </x:c>
      <x:c r="B19" s="50" t="n">
        <x:f>SUM(C5:C12)</x:f>
        <x:v>0.9999999999999999</x:v>
      </x:c>
    </x:row>
    <x:row r="20">
      <x:c r="A20" t="str">
        <x:v>权重检查</x:v>
      </x:c>
      <x:c r="B20" t="str">
        <x:f>IF(ABS(B19-1)&lt;0.0001,"通过","请调整")</x:f>
        <x:v>通过</x:v>
      </x:c>
    </x:row>
    <x:row r="22">
      <x:c r="A22" s="57" t="str">
        <x:v>生产阶段将把固定权重基线替换为变点检测 + Learning-to-Rank，并保留此基线作为可解释对照。参数版本必须与每次回测结果绑定，保证可复现。</x:v>
      </x:c>
      <x:c r="B22" s="57"/>
      <x:c r="C22" s="57"/>
      <x:c r="D22" s="57"/>
      <x:c r="E22" s="57"/>
      <x:c r="F22" s="57"/>
    </x:row>
    <x:row r="23">
      <x:c r="A23" s="57"/>
      <x:c r="B23" s="57"/>
      <x:c r="C23" s="57"/>
      <x:c r="D23" s="57"/>
      <x:c r="E23" s="57"/>
      <x:c r="F23" s="57"/>
    </x:row>
    <x:row r="24">
      <x:c r="A24" s="57"/>
      <x:c r="B24" s="57"/>
      <x:c r="C24" s="57"/>
      <x:c r="D24" s="57"/>
      <x:c r="E24" s="57"/>
      <x:c r="F24" s="57"/>
    </x:row>
  </x:sheetData>
  <x:mergeCells>
    <x:mergeCell ref="A1:F2"/>
    <x:mergeCell ref="A22:F24"/>
  </x:mergeCells>
  <x:pageMargins left="0.7" right="0.7" top="0.75" bottom="0.75" header="0.3" footer="0.3"/>
  <x:tableParts count="1">
    <x:tablePart xmlns:r="http://schemas.openxmlformats.org/officeDocument/2006/relationships" r:id="Rb400783ffc6b42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0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1" hidden="0" customWidth="1"/>
    <x:col min="10" max="10" width="10" hidden="0" customWidth="1"/>
    <x:col min="11" max="11" width="9" hidden="0" customWidth="1"/>
    <x:col min="12" max="12" width="11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38" hidden="0" customWidth="1"/>
  </x:cols>
  <x:sheetData>
    <x:row r="1">
      <x:c r="A1" s="5" t="str">
        <x:v>候选城市评分｜模拟数据 / 方法演示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>
      <x:c r="A3" s="67" t="str">
        <x:v>请勿将本页城市排名对外表述为真实预测。输入特征可编辑，综合分、置信度、行动等级和排名由公式计算。</x:v>
      </x:c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</x:row>
    <x:row r="5">
      <x:c r="A5" s="36" t="str">
        <x:v>排名</x:v>
      </x:c>
      <x:c r="B5" s="36" t="str">
        <x:v>城市</x:v>
      </x:c>
      <x:c r="C5" s="36" t="str">
        <x:v>省份</x:v>
      </x:c>
      <x:c r="D5" s="36" t="str">
        <x:v>样本类型</x:v>
      </x:c>
      <x:c r="E5" s="36" t="str">
        <x:v>内容增速</x:v>
      </x:c>
      <x:c r="F5" s="36" t="str">
        <x:v>搜索增速</x:v>
      </x:c>
      <x:c r="G5" s="36" t="str">
        <x:v>事件触发</x:v>
      </x:c>
      <x:c r="H5" s="36" t="str">
        <x:v>可达性</x:v>
      </x:c>
      <x:c r="I5" s="36" t="str">
        <x:v>供给承载</x:v>
      </x:c>
      <x:c r="J5" s="36" t="str">
        <x:v>天气适配</x:v>
      </x:c>
      <x:c r="K5" s="36" t="str">
        <x:v>新奇度</x:v>
      </x:c>
      <x:c r="L5" s="36" t="str">
        <x:v>跨域扩散</x:v>
      </x:c>
      <x:c r="M5" s="36" t="str">
        <x:v>风险压力</x:v>
      </x:c>
      <x:c r="N5" s="36" t="str">
        <x:v>综合分</x:v>
      </x:c>
      <x:c r="O5" s="36" t="str">
        <x:v>置信度</x:v>
      </x:c>
      <x:c r="P5" s="36" t="str">
        <x:v>行动等级</x:v>
      </x:c>
      <x:c r="Q5" s="36" t="str">
        <x:v>说明</x:v>
      </x:c>
    </x:row>
    <x:row r="6">
      <x:c r="A6" s="42" t="n">
        <x:v>1</x:v>
      </x:c>
      <x:c r="B6" s="42" t="str">
        <x:v>延吉</x:v>
      </x:c>
      <x:c r="C6" s="42" t="str">
        <x:v>吉林</x:v>
      </x:c>
      <x:c r="D6" s="42" t="str">
        <x:v>演示候选（模拟）</x:v>
      </x:c>
      <x:c r="E6" s="63" t="n">
        <x:v>84</x:v>
      </x:c>
      <x:c r="F6" s="63" t="n">
        <x:v>79</x:v>
      </x:c>
      <x:c r="G6" s="63" t="n">
        <x:v>76</x:v>
      </x:c>
      <x:c r="H6" s="63" t="n">
        <x:v>66</x:v>
      </x:c>
      <x:c r="I6" s="63" t="n">
        <x:v>61</x:v>
      </x:c>
      <x:c r="J6" s="63" t="n">
        <x:v>72</x:v>
      </x:c>
      <x:c r="K6" s="63" t="n">
        <x:v>86</x:v>
      </x:c>
      <x:c r="L6" s="63" t="n">
        <x:v>82</x:v>
      </x:c>
      <x:c r="M6" s="63" t="n">
        <x:v>28</x:v>
      </x:c>
      <x:c r="N6" s="63" t="n">
        <x:f>E6*'参数'!$C$5+F6*'参数'!$C$6+G6*'参数'!$C$7+H6*'参数'!$C$8+I6*'参数'!$C$9+J6*'参数'!$C$10+K6*'参数'!$C$11+L6*'参数'!$C$12-M6*'参数'!$C$13</x:f>
        <x:v>72.48</x:v>
      </x:c>
      <x:c r="O6" s="62" t="n">
        <x:f>0.55+N6/250+(100-M6)/1000</x:f>
        <x:v>0.91192</x:v>
      </x:c>
      <x:c r="P6" s="42" t="str">
        <x:f>IF(N6&lt;'参数'!$C$14,IF(N6&gt;='参数'!$C$15,"观察","储备"),IF(O6&gt;='参数'!$C$16,"行动","观察"))</x:f>
        <x:v>行动</x:v>
      </x:c>
      <x:c r="Q6" s="42" t="str">
        <x:v>模拟数据，仅用于展示方法、界面与字段，不构成真实预测。</x:v>
      </x:c>
    </x:row>
    <x:row r="7">
      <x:c r="A7" s="42" t="n">
        <x:v>2</x:v>
      </x:c>
      <x:c r="B7" s="42" t="str">
        <x:v>景德镇</x:v>
      </x:c>
      <x:c r="C7" s="42" t="str">
        <x:v>江西</x:v>
      </x:c>
      <x:c r="D7" s="42" t="str">
        <x:v>演示候选（模拟）</x:v>
      </x:c>
      <x:c r="E7" s="63" t="n">
        <x:v>80</x:v>
      </x:c>
      <x:c r="F7" s="63" t="n">
        <x:v>74</x:v>
      </x:c>
      <x:c r="G7" s="63" t="n">
        <x:v>69</x:v>
      </x:c>
      <x:c r="H7" s="63" t="n">
        <x:v>72</x:v>
      </x:c>
      <x:c r="I7" s="63" t="n">
        <x:v>70</x:v>
      </x:c>
      <x:c r="J7" s="63" t="n">
        <x:v>78</x:v>
      </x:c>
      <x:c r="K7" s="63" t="n">
        <x:v>81</x:v>
      </x:c>
      <x:c r="L7" s="63" t="n">
        <x:v>76</x:v>
      </x:c>
      <x:c r="M7" s="63" t="n">
        <x:v>30</x:v>
      </x:c>
      <x:c r="N7" s="63" t="n">
        <x:f>E7*'参数'!$C$5+F7*'参数'!$C$6+G7*'参数'!$C$7+H7*'参数'!$C$8+I7*'参数'!$C$9+J7*'参数'!$C$10+K7*'参数'!$C$11+L7*'参数'!$C$12-M7*'参数'!$C$13</x:f>
        <x:v>70.66</x:v>
      </x:c>
      <x:c r="O7" s="62" t="n">
        <x:f>0.55+N7/250+(100-M7)/1000</x:f>
        <x:v>0.9026400000000001</x:v>
      </x:c>
      <x:c r="P7" s="42" t="str">
        <x:f>IF(N7&lt;'参数'!$C$14,IF(N7&gt;='参数'!$C$15,"观察","储备"),IF(O7&gt;='参数'!$C$16,"行动","观察"))</x:f>
        <x:v>行动</x:v>
      </x:c>
      <x:c r="Q7" s="42" t="str">
        <x:v>模拟数据，仅用于展示方法、界面与字段，不构成真实预测。</x:v>
      </x:c>
    </x:row>
    <x:row r="8">
      <x:c r="A8" s="42" t="n">
        <x:v>3</x:v>
      </x:c>
      <x:c r="B8" s="42" t="str">
        <x:v>柳州</x:v>
      </x:c>
      <x:c r="C8" s="42" t="str">
        <x:v>广西</x:v>
      </x:c>
      <x:c r="D8" s="42" t="str">
        <x:v>演示候选（模拟）</x:v>
      </x:c>
      <x:c r="E8" s="63" t="n">
        <x:v>74</x:v>
      </x:c>
      <x:c r="F8" s="63" t="n">
        <x:v>73</x:v>
      </x:c>
      <x:c r="G8" s="63" t="n">
        <x:v>61</x:v>
      </x:c>
      <x:c r="H8" s="63" t="n">
        <x:v>70</x:v>
      </x:c>
      <x:c r="I8" s="63" t="n">
        <x:v>68</x:v>
      </x:c>
      <x:c r="J8" s="63" t="n">
        <x:v>74</x:v>
      </x:c>
      <x:c r="K8" s="63" t="n">
        <x:v>76</x:v>
      </x:c>
      <x:c r="L8" s="63" t="n">
        <x:v>75</x:v>
      </x:c>
      <x:c r="M8" s="63" t="n">
        <x:v>32</x:v>
      </x:c>
      <x:c r="N8" s="63" t="n">
        <x:f>E8*'参数'!$C$5+F8*'参数'!$C$6+G8*'参数'!$C$7+H8*'参数'!$C$8+I8*'参数'!$C$9+J8*'参数'!$C$10+K8*'参数'!$C$11+L8*'参数'!$C$12-M8*'参数'!$C$13</x:f>
        <x:v>66.64</x:v>
      </x:c>
      <x:c r="O8" s="62" t="n">
        <x:f>0.55+N8/250+(100-M8)/1000</x:f>
        <x:v>0.88456</x:v>
      </x:c>
      <x:c r="P8" s="42" t="str">
        <x:f>IF(N8&lt;'参数'!$C$14,IF(N8&gt;='参数'!$C$15,"观察","储备"),IF(O8&gt;='参数'!$C$16,"行动","观察"))</x:f>
        <x:v>观察</x:v>
      </x:c>
      <x:c r="Q8" s="42" t="str">
        <x:v>模拟数据，仅用于展示方法、界面与字段，不构成真实预测。</x:v>
      </x:c>
    </x:row>
    <x:row r="9">
      <x:c r="A9" s="42" t="n">
        <x:v>4</x:v>
      </x:c>
      <x:c r="B9" s="42" t="str">
        <x:v>大同</x:v>
      </x:c>
      <x:c r="C9" s="42" t="str">
        <x:v>山西</x:v>
      </x:c>
      <x:c r="D9" s="42" t="str">
        <x:v>演示候选（模拟）</x:v>
      </x:c>
      <x:c r="E9" s="63" t="n">
        <x:v>71</x:v>
      </x:c>
      <x:c r="F9" s="63" t="n">
        <x:v>68</x:v>
      </x:c>
      <x:c r="G9" s="63" t="n">
        <x:v>63</x:v>
      </x:c>
      <x:c r="H9" s="63" t="n">
        <x:v>79</x:v>
      </x:c>
      <x:c r="I9" s="63" t="n">
        <x:v>74</x:v>
      </x:c>
      <x:c r="J9" s="63" t="n">
        <x:v>65</x:v>
      </x:c>
      <x:c r="K9" s="63" t="n">
        <x:v>72</x:v>
      </x:c>
      <x:c r="L9" s="63" t="n">
        <x:v>69</x:v>
      </x:c>
      <x:c r="M9" s="63" t="n">
        <x:v>25</x:v>
      </x:c>
      <x:c r="N9" s="63" t="n">
        <x:f>E9*'参数'!$C$5+F9*'参数'!$C$6+G9*'参数'!$C$7+H9*'参数'!$C$8+I9*'参数'!$C$9+J9*'参数'!$C$10+K9*'参数'!$C$11+L9*'参数'!$C$12-M9*'参数'!$C$13</x:f>
        <x:v>66.41000000000001</x:v>
      </x:c>
      <x:c r="O9" s="62" t="n">
        <x:f>0.55+N9/250+(100-M9)/1000</x:f>
        <x:v>0.8906400000000001</x:v>
      </x:c>
      <x:c r="P9" s="42" t="str">
        <x:f>IF(N9&lt;'参数'!$C$14,IF(N9&gt;='参数'!$C$15,"观察","储备"),IF(O9&gt;='参数'!$C$16,"行动","观察"))</x:f>
        <x:v>观察</x:v>
      </x:c>
      <x:c r="Q9" s="42" t="str">
        <x:v>模拟数据，仅用于展示方法、界面与字段，不构成真实预测。</x:v>
      </x:c>
    </x:row>
    <x:row r="10">
      <x:c r="A10" s="42" t="n">
        <x:v>5</x:v>
      </x:c>
      <x:c r="B10" s="42" t="str">
        <x:v>芒市</x:v>
      </x:c>
      <x:c r="C10" s="42" t="str">
        <x:v>云南</x:v>
      </x:c>
      <x:c r="D10" s="42" t="str">
        <x:v>演示候选（模拟）</x:v>
      </x:c>
      <x:c r="E10" s="63" t="n">
        <x:v>76</x:v>
      </x:c>
      <x:c r="F10" s="63" t="n">
        <x:v>70</x:v>
      </x:c>
      <x:c r="G10" s="63" t="n">
        <x:v>72</x:v>
      </x:c>
      <x:c r="H10" s="63" t="n">
        <x:v>57</x:v>
      </x:c>
      <x:c r="I10" s="63" t="n">
        <x:v>55</x:v>
      </x:c>
      <x:c r="J10" s="63" t="n">
        <x:v>83</x:v>
      </x:c>
      <x:c r="K10" s="63" t="n">
        <x:v>88</x:v>
      </x:c>
      <x:c r="L10" s="63" t="n">
        <x:v>71</x:v>
      </x:c>
      <x:c r="M10" s="63" t="n">
        <x:v>34</x:v>
      </x:c>
      <x:c r="N10" s="63" t="n">
        <x:f>E10*'参数'!$C$5+F10*'参数'!$C$6+G10*'参数'!$C$7+H10*'参数'!$C$8+I10*'参数'!$C$9+J10*'参数'!$C$10+K10*'参数'!$C$11+L10*'参数'!$C$12-M10*'参数'!$C$13</x:f>
        <x:v>65.98</x:v>
      </x:c>
      <x:c r="O10" s="62" t="n">
        <x:f>0.55+N10/250+(100-M10)/1000</x:f>
        <x:v>0.87992</x:v>
      </x:c>
      <x:c r="P10" s="42" t="str">
        <x:f>IF(N10&lt;'参数'!$C$14,IF(N10&gt;='参数'!$C$15,"观察","储备"),IF(O10&gt;='参数'!$C$16,"行动","观察"))</x:f>
        <x:v>观察</x:v>
      </x:c>
      <x:c r="Q10" s="42" t="str">
        <x:v>模拟数据，仅用于展示方法、界面与字段，不构成真实预测。</x:v>
      </x:c>
    </x:row>
    <x:row r="11">
      <x:c r="A11" s="42" t="n">
        <x:v>6</x:v>
      </x:c>
      <x:c r="B11" s="42" t="str">
        <x:v>泉州</x:v>
      </x:c>
      <x:c r="C11" s="42" t="str">
        <x:v>福建</x:v>
      </x:c>
      <x:c r="D11" s="42" t="str">
        <x:v>演示候选（模拟）</x:v>
      </x:c>
      <x:c r="E11" s="63" t="n">
        <x:v>69</x:v>
      </x:c>
      <x:c r="F11" s="63" t="n">
        <x:v>64</x:v>
      </x:c>
      <x:c r="G11" s="63" t="n">
        <x:v>58</x:v>
      </x:c>
      <x:c r="H11" s="63" t="n">
        <x:v>78</x:v>
      </x:c>
      <x:c r="I11" s="63" t="n">
        <x:v>80</x:v>
      </x:c>
      <x:c r="J11" s="63" t="n">
        <x:v>70</x:v>
      </x:c>
      <x:c r="K11" s="63" t="n">
        <x:v>79</x:v>
      </x:c>
      <x:c r="L11" s="63" t="n">
        <x:v>66</x:v>
      </x:c>
      <x:c r="M11" s="63" t="n">
        <x:v>24</x:v>
      </x:c>
      <x:c r="N11" s="63" t="n">
        <x:f>E11*'参数'!$C$5+F11*'参数'!$C$6+G11*'参数'!$C$7+H11*'参数'!$C$8+I11*'参数'!$C$9+J11*'参数'!$C$10+K11*'参数'!$C$11+L11*'参数'!$C$12-M11*'参数'!$C$13</x:f>
        <x:v>65.94</x:v>
      </x:c>
      <x:c r="O11" s="62" t="n">
        <x:f>0.55+N11/250+(100-M11)/1000</x:f>
        <x:v>0.88976</x:v>
      </x:c>
      <x:c r="P11" s="42" t="str">
        <x:f>IF(N11&lt;'参数'!$C$14,IF(N11&gt;='参数'!$C$15,"观察","储备"),IF(O11&gt;='参数'!$C$16,"行动","观察"))</x:f>
        <x:v>观察</x:v>
      </x:c>
      <x:c r="Q11" s="42" t="str">
        <x:v>模拟数据，仅用于展示方法、界面与字段，不构成真实预测。</x:v>
      </x:c>
    </x:row>
    <x:row r="12">
      <x:c r="A12" s="42" t="n">
        <x:v>7</x:v>
      </x:c>
      <x:c r="B12" s="42" t="str">
        <x:v>台州</x:v>
      </x:c>
      <x:c r="C12" s="42" t="str">
        <x:v>浙江</x:v>
      </x:c>
      <x:c r="D12" s="42" t="str">
        <x:v>演示候选（模拟）</x:v>
      </x:c>
      <x:c r="E12" s="63" t="n">
        <x:v>65</x:v>
      </x:c>
      <x:c r="F12" s="63" t="n">
        <x:v>62</x:v>
      </x:c>
      <x:c r="G12" s="63" t="n">
        <x:v>55</x:v>
      </x:c>
      <x:c r="H12" s="63" t="n">
        <x:v>82</x:v>
      </x:c>
      <x:c r="I12" s="63" t="n">
        <x:v>77</x:v>
      </x:c>
      <x:c r="J12" s="63" t="n">
        <x:v>73</x:v>
      </x:c>
      <x:c r="K12" s="63" t="n">
        <x:v>68</x:v>
      </x:c>
      <x:c r="L12" s="63" t="n">
        <x:v>63</x:v>
      </x:c>
      <x:c r="M12" s="63" t="n">
        <x:v>22</x:v>
      </x:c>
      <x:c r="N12" s="63" t="n">
        <x:f>E12*'参数'!$C$5+F12*'参数'!$C$6+G12*'参数'!$C$7+H12*'参数'!$C$8+I12*'参数'!$C$9+J12*'参数'!$C$10+K12*'参数'!$C$11+L12*'参数'!$C$12-M12*'参数'!$C$13</x:f>
        <x:v>63.88000000000001</x:v>
      </x:c>
      <x:c r="O12" s="62" t="n">
        <x:f>0.55+N12/250+(100-M12)/1000</x:f>
        <x:v>0.88352</x:v>
      </x:c>
      <x:c r="P12" s="42" t="str">
        <x:f>IF(N12&lt;'参数'!$C$14,IF(N12&gt;='参数'!$C$15,"观察","储备"),IF(O12&gt;='参数'!$C$16,"行动","观察"))</x:f>
        <x:v>观察</x:v>
      </x:c>
      <x:c r="Q12" s="42" t="str">
        <x:v>模拟数据，仅用于展示方法、界面与字段，不构成真实预测。</x:v>
      </x:c>
    </x:row>
    <x:row r="13">
      <x:c r="A13" s="42" t="n">
        <x:v>8</x:v>
      </x:c>
      <x:c r="B13" s="42" t="str">
        <x:v>遵义</x:v>
      </x:c>
      <x:c r="C13" s="42" t="str">
        <x:v>贵州</x:v>
      </x:c>
      <x:c r="D13" s="42" t="str">
        <x:v>演示候选（模拟）</x:v>
      </x:c>
      <x:c r="E13" s="63" t="n">
        <x:v>67</x:v>
      </x:c>
      <x:c r="F13" s="63" t="n">
        <x:v>60</x:v>
      </x:c>
      <x:c r="G13" s="63" t="n">
        <x:v>64</x:v>
      </x:c>
      <x:c r="H13" s="63" t="n">
        <x:v>68</x:v>
      </x:c>
      <x:c r="I13" s="63" t="n">
        <x:v>65</x:v>
      </x:c>
      <x:c r="J13" s="63" t="n">
        <x:v>77</x:v>
      </x:c>
      <x:c r="K13" s="63" t="n">
        <x:v>73</x:v>
      </x:c>
      <x:c r="L13" s="63" t="n">
        <x:v>62</x:v>
      </x:c>
      <x:c r="M13" s="63" t="n">
        <x:v>29</x:v>
      </x:c>
      <x:c r="N13" s="63" t="n">
        <x:f>E13*'参数'!$C$5+F13*'参数'!$C$6+G13*'参数'!$C$7+H13*'参数'!$C$8+I13*'参数'!$C$9+J13*'参数'!$C$10+K13*'参数'!$C$11+L13*'参数'!$C$12-M13*'参数'!$C$13</x:f>
        <x:v>61.73</x:v>
      </x:c>
      <x:c r="O13" s="62" t="n">
        <x:f>0.55+N13/250+(100-M13)/1000</x:f>
        <x:v>0.86792</x:v>
      </x:c>
      <x:c r="P13" s="42" t="str">
        <x:f>IF(N13&lt;'参数'!$C$14,IF(N13&gt;='参数'!$C$15,"观察","储备"),IF(O13&gt;='参数'!$C$16,"行动","观察"))</x:f>
        <x:v>观察</x:v>
      </x:c>
      <x:c r="Q13" s="42" t="str">
        <x:v>模拟数据，仅用于展示方法、界面与字段，不构成真实预测。</x:v>
      </x:c>
    </x:row>
    <x:row r="14">
      <x:c r="A14" s="42" t="n">
        <x:v>9</x:v>
      </x:c>
      <x:c r="B14" s="42" t="str">
        <x:v>开封</x:v>
      </x:c>
      <x:c r="C14" s="42" t="str">
        <x:v>河南</x:v>
      </x:c>
      <x:c r="D14" s="42" t="str">
        <x:v>演示候选（模拟）</x:v>
      </x:c>
      <x:c r="E14" s="63" t="n">
        <x:v>63</x:v>
      </x:c>
      <x:c r="F14" s="63" t="n">
        <x:v>61</x:v>
      </x:c>
      <x:c r="G14" s="63" t="n">
        <x:v>59</x:v>
      </x:c>
      <x:c r="H14" s="63" t="n">
        <x:v>83</x:v>
      </x:c>
      <x:c r="I14" s="63" t="n">
        <x:v>76</x:v>
      </x:c>
      <x:c r="J14" s="63" t="n">
        <x:v>69</x:v>
      </x:c>
      <x:c r="K14" s="63" t="n">
        <x:v>65</x:v>
      </x:c>
      <x:c r="L14" s="63" t="n">
        <x:v>60</x:v>
      </x:c>
      <x:c r="M14" s="63" t="n">
        <x:v>31</x:v>
      </x:c>
      <x:c r="N14" s="63" t="n">
        <x:f>E14*'参数'!$C$5+F14*'参数'!$C$6+G14*'参数'!$C$7+H14*'参数'!$C$8+I14*'参数'!$C$9+J14*'参数'!$C$10+K14*'参数'!$C$11+L14*'参数'!$C$12-M14*'参数'!$C$13</x:f>
        <x:v>61.55000000000002</x:v>
      </x:c>
      <x:c r="O14" s="62" t="n">
        <x:f>0.55+N14/250+(100-M14)/1000</x:f>
        <x:v>0.8652000000000002</x:v>
      </x:c>
      <x:c r="P14" s="42" t="str">
        <x:f>IF(N14&lt;'参数'!$C$14,IF(N14&gt;='参数'!$C$15,"观察","储备"),IF(O14&gt;='参数'!$C$16,"行动","观察"))</x:f>
        <x:v>观察</x:v>
      </x:c>
      <x:c r="Q14" s="42" t="str">
        <x:v>模拟数据，仅用于展示方法、界面与字段，不构成真实预测。</x:v>
      </x:c>
    </x:row>
    <x:row r="15">
      <x:c r="A15" s="42" t="n">
        <x:v>10</x:v>
      </x:c>
      <x:c r="B15" s="42" t="str">
        <x:v>宜宾</x:v>
      </x:c>
      <x:c r="C15" s="42" t="str">
        <x:v>四川</x:v>
      </x:c>
      <x:c r="D15" s="42" t="str">
        <x:v>演示候选（模拟）</x:v>
      </x:c>
      <x:c r="E15" s="63" t="n">
        <x:v>61</x:v>
      </x:c>
      <x:c r="F15" s="63" t="n">
        <x:v>58</x:v>
      </x:c>
      <x:c r="G15" s="63" t="n">
        <x:v>57</x:v>
      </x:c>
      <x:c r="H15" s="63" t="n">
        <x:v>72</x:v>
      </x:c>
      <x:c r="I15" s="63" t="n">
        <x:v>69</x:v>
      </x:c>
      <x:c r="J15" s="63" t="n">
        <x:v>71</x:v>
      </x:c>
      <x:c r="K15" s="63" t="n">
        <x:v>70</x:v>
      </x:c>
      <x:c r="L15" s="63" t="n">
        <x:v>59</x:v>
      </x:c>
      <x:c r="M15" s="63" t="n">
        <x:v>26</x:v>
      </x:c>
      <x:c r="N15" s="63" t="n">
        <x:f>E15*'参数'!$C$5+F15*'参数'!$C$6+G15*'参数'!$C$7+H15*'参数'!$C$8+I15*'参数'!$C$9+J15*'参数'!$C$10+K15*'参数'!$C$11+L15*'参数'!$C$12-M15*'参数'!$C$13</x:f>
        <x:v>59.52</x:v>
      </x:c>
      <x:c r="O15" s="62" t="n">
        <x:f>0.55+N15/250+(100-M15)/1000</x:f>
        <x:v>0.8620800000000001</x:v>
      </x:c>
      <x:c r="P15" s="42" t="str">
        <x:f>IF(N15&lt;'参数'!$C$14,IF(N15&gt;='参数'!$C$15,"观察","储备"),IF(O15&gt;='参数'!$C$16,"行动","观察"))</x:f>
        <x:v>观察</x:v>
      </x:c>
      <x:c r="Q15" s="42" t="str">
        <x:v>模拟数据，仅用于展示方法、界面与字段，不构成真实预测。</x:v>
      </x:c>
    </x:row>
    <x:row r="18">
      <x:c r="A18" s="36" t="str">
        <x:v>图表辅助</x:v>
      </x:c>
      <x:c r="B18" s="36" t="str">
        <x:v>城市</x:v>
      </x:c>
      <x:c r="C18" s="36" t="str">
        <x:v>综合分（模拟）</x:v>
      </x:c>
      <x:c r="D18" s="36" t="str">
        <x:v>状态</x:v>
      </x:c>
    </x:row>
    <x:row r="19">
      <x:c r="A19" t="str">
        <x:v>模拟</x:v>
      </x:c>
      <x:c r="B19" t="str">
        <x:v>延吉</x:v>
      </x:c>
      <x:c r="C19" t="n">
        <x:v>72.5</x:v>
      </x:c>
      <x:c r="D19" t="str">
        <x:v>行动</x:v>
      </x:c>
    </x:row>
    <x:row r="20">
      <x:c r="A20" t="str">
        <x:v>模拟</x:v>
      </x:c>
      <x:c r="B20" t="str">
        <x:v>景德镇</x:v>
      </x:c>
      <x:c r="C20" t="n">
        <x:v>70.7</x:v>
      </x:c>
      <x:c r="D20" t="str">
        <x:v>行动</x:v>
      </x:c>
    </x:row>
    <x:row r="21">
      <x:c r="A21" t="str">
        <x:v>模拟</x:v>
      </x:c>
      <x:c r="B21" t="str">
        <x:v>柳州</x:v>
      </x:c>
      <x:c r="C21" t="n">
        <x:v>66.6</x:v>
      </x:c>
      <x:c r="D21" t="str">
        <x:v>观察</x:v>
      </x:c>
    </x:row>
    <x:row r="22">
      <x:c r="A22" t="str">
        <x:v>模拟</x:v>
      </x:c>
      <x:c r="B22" t="str">
        <x:v>大同</x:v>
      </x:c>
      <x:c r="C22" t="n">
        <x:v>66.4</x:v>
      </x:c>
      <x:c r="D22" t="str">
        <x:v>观察</x:v>
      </x:c>
    </x:row>
    <x:row r="23">
      <x:c r="A23" t="str">
        <x:v>模拟</x:v>
      </x:c>
      <x:c r="B23" t="str">
        <x:v>芒市</x:v>
      </x:c>
      <x:c r="C23" t="n">
        <x:v>66</x:v>
      </x:c>
      <x:c r="D23" t="str">
        <x:v>观察</x:v>
      </x:c>
    </x:row>
    <x:row r="24">
      <x:c r="A24" t="str">
        <x:v>模拟</x:v>
      </x:c>
      <x:c r="B24" t="str">
        <x:v>泉州</x:v>
      </x:c>
      <x:c r="C24" t="n">
        <x:v>65.9</x:v>
      </x:c>
      <x:c r="D24" t="str">
        <x:v>观察</x:v>
      </x:c>
    </x:row>
    <x:row r="25">
      <x:c r="A25" t="str">
        <x:v>模拟</x:v>
      </x:c>
      <x:c r="B25" t="str">
        <x:v>台州</x:v>
      </x:c>
      <x:c r="C25" t="n">
        <x:v>63.9</x:v>
      </x:c>
      <x:c r="D25" t="str">
        <x:v>观察</x:v>
      </x:c>
    </x:row>
    <x:row r="26">
      <x:c r="A26" t="str">
        <x:v>模拟</x:v>
      </x:c>
      <x:c r="B26" t="str">
        <x:v>遵义</x:v>
      </x:c>
      <x:c r="C26" t="n">
        <x:v>61.7</x:v>
      </x:c>
      <x:c r="D26" t="str">
        <x:v>观察</x:v>
      </x:c>
    </x:row>
    <x:row r="27">
      <x:c r="A27" t="str">
        <x:v>模拟</x:v>
      </x:c>
      <x:c r="B27" t="str">
        <x:v>开封</x:v>
      </x:c>
      <x:c r="C27" t="n">
        <x:v>61.6</x:v>
      </x:c>
      <x:c r="D27" t="str">
        <x:v>观察</x:v>
      </x:c>
    </x:row>
    <x:row r="28">
      <x:c r="A28" t="str">
        <x:v>模拟</x:v>
      </x:c>
      <x:c r="B28" t="str">
        <x:v>宜宾</x:v>
      </x:c>
      <x:c r="C28" t="n">
        <x:v>59.5</x:v>
      </x:c>
      <x:c r="D28" t="str">
        <x:v>观察</x:v>
      </x:c>
    </x:row>
  </x:sheetData>
  <x:mergeCells>
    <x:mergeCell ref="A1:Q2"/>
    <x:mergeCell ref="A3:Q3"/>
  </x:mergeCells>
  <x:conditionalFormatting sqref="E6:M15">
    <x:cfRule type="colorScale" priority="1">
      <x:colorScale>
        <x:cfvo type="min"/>
        <x:cfvo type="percentile" val="50"/>
        <x:cfvo type="max"/>
        <x:color rgb="FFF8D7DA"/>
        <x:color rgb="FFFFF3CD"/>
        <x:color rgb="FFD1F2E5"/>
      </x:colorScale>
    </x:cfRule>
  </x:conditionalFormatting>
  <x:conditionalFormatting sqref="N6:N15">
    <x:cfRule type="dataBar" priority="2">
      <x:dataBar>
        <x:cfvo type="min"/>
        <x:cfvo type="max"/>
        <x:color rgb="FF15B8C8"/>
      </x:dataBar>
      <x:extLst>
        <x:ext xmlns:x14="http://schemas.microsoft.com/office/spreadsheetml/2009/9/main" uri="{B025F937-C7B1-47D3-B67F-A62EFF666E3E}">
          <x14:id>{C308C577-D57E-3EC9-312A-E2303E02C6C4}</x14:id>
        </x:ext>
      </x:extLst>
    </x:cfRule>
  </x:conditionalFormatting>
  <x:conditionalFormatting sqref="P6:P15">
    <x:cfRule type="expression" dxfId="0" priority="3">
      <x:formula>P6="行动"</x:formula>
    </x:cfRule>
    <x:cfRule type="expression" dxfId="1" priority="4">
      <x:formula>P6="观察"</x:formula>
    </x:cfRule>
    <x:cfRule type="expression" dxfId="2" priority="5">
      <x:formula>P6="储备"</x:formula>
    </x:cfRule>
  </x:conditionalFormatting>
  <x:pageMargins left="0.7" right="0.7" top="0.75" bottom="0.75" header="0.3" footer="0.3"/>
  <x:drawing xmlns:r="http://schemas.openxmlformats.org/officeDocument/2006/relationships" r:id="Rbeae0df265354dfc"/>
  <x:tableParts count="1">
    <x:tablePart xmlns:r="http://schemas.openxmlformats.org/officeDocument/2006/relationships" r:id="R078858c7d98440c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C308C577-D57E-3EC9-312A-E2303E02C6C4}">
            <x14:dataBar gradient="1">
              <x14:cfvo type="min"/>
              <x14:cfvo type="max"/>
              <x14:fillColor rgb="FF15B8C8"/>
            </x14:dataBar>
          </x14:cfRule>
          <xm:sqref>N6:N15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8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1" hidden="0" customWidth="1"/>
    <x:col min="10" max="10" width="10" hidden="0" customWidth="1"/>
    <x:col min="11" max="11" width="9" hidden="0" customWidth="1"/>
    <x:col min="12" max="12" width="11" hidden="0" customWidth="1"/>
    <x:col min="13" max="13" width="10" hidden="0" customWidth="1"/>
    <x:col min="14" max="14" width="10" hidden="0" customWidth="1"/>
    <x:col min="15" max="15" width="10" hidden="0" customWidth="1"/>
    <x:col min="16" max="16" width="17" hidden="0" customWidth="1"/>
    <x:col min="18" max="18" width="9" hidden="0" customWidth="1"/>
    <x:col min="19" max="19" width="12" hidden="0" customWidth="1"/>
    <x:col min="20" max="20" width="14" hidden="0" customWidth="1"/>
    <x:col min="21" max="21" width="10" hidden="0" customWidth="1"/>
  </x:cols>
  <x:sheetData>
    <x:row r="1">
      <x:c r="A1" s="5" t="str">
        <x:v>日粒度弱信号样本｜历史正例模板与对照组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>
      <x:c r="A3" s="66" t="str">
        <x:v>所有数值均为模拟数据。正式回测必须以 available_at 为边界，确保截点后信息不会进入特征。</x:v>
      </x:c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  <x:c r="P3" s="66"/>
    </x:row>
    <x:row r="5">
      <x:c r="A5" s="36" t="str">
        <x:v>案例ID</x:v>
      </x:c>
      <x:c r="B5" s="36" t="str">
        <x:v>城市</x:v>
      </x:c>
      <x:c r="C5" s="36" t="str">
        <x:v>案例类型</x:v>
      </x:c>
      <x:c r="D5" s="36" t="str">
        <x:v>相对日</x:v>
      </x:c>
      <x:c r="E5" s="36" t="str">
        <x:v>内容增速</x:v>
      </x:c>
      <x:c r="F5" s="36" t="str">
        <x:v>搜索增速</x:v>
      </x:c>
      <x:c r="G5" s="36" t="str">
        <x:v>事件触发</x:v>
      </x:c>
      <x:c r="H5" s="36" t="str">
        <x:v>可达性</x:v>
      </x:c>
      <x:c r="I5" s="36" t="str">
        <x:v>供给承载</x:v>
      </x:c>
      <x:c r="J5" s="36" t="str">
        <x:v>天气适配</x:v>
      </x:c>
      <x:c r="K5" s="36" t="str">
        <x:v>新奇度</x:v>
      </x:c>
      <x:c r="L5" s="36" t="str">
        <x:v>跨域扩散</x:v>
      </x:c>
      <x:c r="M5" s="36" t="str">
        <x:v>风险压力</x:v>
      </x:c>
      <x:c r="N5" s="36" t="str">
        <x:v>综合分</x:v>
      </x:c>
      <x:c r="O5" s="36" t="str">
        <x:v>未来爆火标签</x:v>
      </x:c>
      <x:c r="P5" s="36" t="str">
        <x:v>数据状态</x:v>
      </x:c>
      <x:c r="R5" s="36" t="str">
        <x:v>相对日</x:v>
      </x:c>
      <x:c r="S5" s="36" t="str">
        <x:v>天水综合分</x:v>
      </x:c>
      <x:c r="T5" s="36" t="str">
        <x:v>对照城市A综合分</x:v>
      </x:c>
      <x:c r="U5" s="36" t="str">
        <x:v>行动阈值</x:v>
      </x:c>
    </x:row>
    <x:row r="6">
      <x:c r="A6" s="42" t="str">
        <x:v>淄博-demo</x:v>
      </x:c>
      <x:c r="B6" s="42" t="str">
        <x:v>淄博</x:v>
      </x:c>
      <x:c r="C6" s="42" t="str">
        <x:v>历史正例模板</x:v>
      </x:c>
      <x:c r="D6" s="63" t="n">
        <x:v>-30</x:v>
      </x:c>
      <x:c r="E6" s="63" t="n">
        <x:v>16.9</x:v>
      </x:c>
      <x:c r="F6" s="63" t="n">
        <x:v>16.4</x:v>
      </x:c>
      <x:c r="G6" s="63" t="n">
        <x:v>27.7</x:v>
      </x:c>
      <x:c r="H6" s="63" t="n">
        <x:v>78</x:v>
      </x:c>
      <x:c r="I6" s="63" t="n">
        <x:v>65</x:v>
      </x:c>
      <x:c r="J6" s="63" t="n">
        <x:v>69</x:v>
      </x:c>
      <x:c r="K6" s="63" t="n">
        <x:v>82</x:v>
      </x:c>
      <x:c r="L6" s="63" t="n">
        <x:v>22.5</x:v>
      </x:c>
      <x:c r="M6" s="63" t="n">
        <x:v>20.8</x:v>
      </x:c>
      <x:c r="N6" s="63" t="n">
        <x:v>37.1</x:v>
      </x:c>
      <x:c r="O6" s="63" t="n">
        <x:v>1</x:v>
      </x:c>
      <x:c r="P6" s="42" t="str">
        <x:v>模拟数据/方法演示</x:v>
      </x:c>
      <x:c r="R6" t="n">
        <x:v>-30</x:v>
      </x:c>
      <x:c r="S6" t="n">
        <x:v>34.7</x:v>
      </x:c>
      <x:c r="T6" t="n">
        <x:v>34.2</x:v>
      </x:c>
      <x:c r="U6" t="n">
        <x:v>68</x:v>
      </x:c>
    </x:row>
    <x:row r="7">
      <x:c r="A7" s="42" t="str">
        <x:v>淄博-demo</x:v>
      </x:c>
      <x:c r="B7" s="42" t="str">
        <x:v>淄博</x:v>
      </x:c>
      <x:c r="C7" s="42" t="str">
        <x:v>历史正例模板</x:v>
      </x:c>
      <x:c r="D7" s="63" t="n">
        <x:v>-29</x:v>
      </x:c>
      <x:c r="E7" s="63" t="n">
        <x:v>21.4</x:v>
      </x:c>
      <x:c r="F7" s="63" t="n">
        <x:v>13.8</x:v>
      </x:c>
      <x:c r="G7" s="63" t="n">
        <x:v>31.3</x:v>
      </x:c>
      <x:c r="H7" s="63" t="n">
        <x:v>78</x:v>
      </x:c>
      <x:c r="I7" s="63" t="n">
        <x:v>65</x:v>
      </x:c>
      <x:c r="J7" s="63" t="n">
        <x:v>69</x:v>
      </x:c>
      <x:c r="K7" s="63" t="n">
        <x:v>82</x:v>
      </x:c>
      <x:c r="L7" s="63" t="n">
        <x:v>19.1</x:v>
      </x:c>
      <x:c r="M7" s="63" t="n">
        <x:v>24.3</x:v>
      </x:c>
      <x:c r="N7" s="63" t="n">
        <x:v>37.2</x:v>
      </x:c>
      <x:c r="O7" s="63" t="n">
        <x:v>1</x:v>
      </x:c>
      <x:c r="P7" s="42" t="str">
        <x:v>模拟数据/方法演示</x:v>
      </x:c>
      <x:c r="R7" t="n">
        <x:v>-29</x:v>
      </x:c>
      <x:c r="S7" t="n">
        <x:v>35.5</x:v>
      </x:c>
      <x:c r="T7" t="n">
        <x:v>33.7</x:v>
      </x:c>
      <x:c r="U7" t="n">
        <x:v>68</x:v>
      </x:c>
    </x:row>
    <x:row r="8">
      <x:c r="A8" s="42" t="str">
        <x:v>淄博-demo</x:v>
      </x:c>
      <x:c r="B8" s="42" t="str">
        <x:v>淄博</x:v>
      </x:c>
      <x:c r="C8" s="42" t="str">
        <x:v>历史正例模板</x:v>
      </x:c>
      <x:c r="D8" s="63" t="n">
        <x:v>-28</x:v>
      </x:c>
      <x:c r="E8" s="63" t="n">
        <x:v>21.4</x:v>
      </x:c>
      <x:c r="F8" s="63" t="n">
        <x:v>17.5</x:v>
      </x:c>
      <x:c r="G8" s="63" t="n">
        <x:v>26.7</x:v>
      </x:c>
      <x:c r="H8" s="63" t="n">
        <x:v>78</x:v>
      </x:c>
      <x:c r="I8" s="63" t="n">
        <x:v>65</x:v>
      </x:c>
      <x:c r="J8" s="63" t="n">
        <x:v>69</x:v>
      </x:c>
      <x:c r="K8" s="63" t="n">
        <x:v>82</x:v>
      </x:c>
      <x:c r="L8" s="63" t="n">
        <x:v>21.2</x:v>
      </x:c>
      <x:c r="M8" s="63" t="n">
        <x:v>16.9</x:v>
      </x:c>
      <x:c r="N8" s="63" t="n">
        <x:v>38.6</x:v>
      </x:c>
      <x:c r="O8" s="63" t="n">
        <x:v>1</x:v>
      </x:c>
      <x:c r="P8" s="42" t="str">
        <x:v>模拟数据/方法演示</x:v>
      </x:c>
      <x:c r="R8" t="n">
        <x:v>-28</x:v>
      </x:c>
      <x:c r="S8" t="n">
        <x:v>35.1</x:v>
      </x:c>
      <x:c r="T8" t="n">
        <x:v>35.8</x:v>
      </x:c>
      <x:c r="U8" t="n">
        <x:v>68</x:v>
      </x:c>
    </x:row>
    <x:row r="9">
      <x:c r="A9" s="42" t="str">
        <x:v>淄博-demo</x:v>
      </x:c>
      <x:c r="B9" s="42" t="str">
        <x:v>淄博</x:v>
      </x:c>
      <x:c r="C9" s="42" t="str">
        <x:v>历史正例模板</x:v>
      </x:c>
      <x:c r="D9" s="63" t="n">
        <x:v>-27</x:v>
      </x:c>
      <x:c r="E9" s="63" t="n">
        <x:v>16.1</x:v>
      </x:c>
      <x:c r="F9" s="63" t="n">
        <x:v>16.9</x:v>
      </x:c>
      <x:c r="G9" s="63" t="n">
        <x:v>26.7</x:v>
      </x:c>
      <x:c r="H9" s="63" t="n">
        <x:v>78</x:v>
      </x:c>
      <x:c r="I9" s="63" t="n">
        <x:v>65</x:v>
      </x:c>
      <x:c r="J9" s="63" t="n">
        <x:v>69</x:v>
      </x:c>
      <x:c r="K9" s="63" t="n">
        <x:v>82</x:v>
      </x:c>
      <x:c r="L9" s="63" t="n">
        <x:v>18.6</x:v>
      </x:c>
      <x:c r="M9" s="63" t="n">
        <x:v>18</x:v>
      </x:c>
      <x:c r="N9" s="63" t="n">
        <x:v>36.9</x:v>
      </x:c>
      <x:c r="O9" s="63" t="n">
        <x:v>1</x:v>
      </x:c>
      <x:c r="P9" s="42" t="str">
        <x:v>模拟数据/方法演示</x:v>
      </x:c>
      <x:c r="R9" t="n">
        <x:v>-27</x:v>
      </x:c>
      <x:c r="S9" t="n">
        <x:v>35.6</x:v>
      </x:c>
      <x:c r="T9" t="n">
        <x:v>37.3</x:v>
      </x:c>
      <x:c r="U9" t="n">
        <x:v>68</x:v>
      </x:c>
    </x:row>
    <x:row r="10">
      <x:c r="A10" s="42" t="str">
        <x:v>淄博-demo</x:v>
      </x:c>
      <x:c r="B10" s="42" t="str">
        <x:v>淄博</x:v>
      </x:c>
      <x:c r="C10" s="42" t="str">
        <x:v>历史正例模板</x:v>
      </x:c>
      <x:c r="D10" s="63" t="n">
        <x:v>-26</x:v>
      </x:c>
      <x:c r="E10" s="63" t="n">
        <x:v>16.2</x:v>
      </x:c>
      <x:c r="F10" s="63" t="n">
        <x:v>14.6</x:v>
      </x:c>
      <x:c r="G10" s="63" t="n">
        <x:v>27.3</x:v>
      </x:c>
      <x:c r="H10" s="63" t="n">
        <x:v>78</x:v>
      </x:c>
      <x:c r="I10" s="63" t="n">
        <x:v>65</x:v>
      </x:c>
      <x:c r="J10" s="63" t="n">
        <x:v>69</x:v>
      </x:c>
      <x:c r="K10" s="63" t="n">
        <x:v>82</x:v>
      </x:c>
      <x:c r="L10" s="63" t="n">
        <x:v>19.3</x:v>
      </x:c>
      <x:c r="M10" s="63" t="n">
        <x:v>18.2</x:v>
      </x:c>
      <x:c r="N10" s="63" t="n">
        <x:v>36.6</x:v>
      </x:c>
      <x:c r="O10" s="63" t="n">
        <x:v>1</x:v>
      </x:c>
      <x:c r="P10" s="42" t="str">
        <x:v>模拟数据/方法演示</x:v>
      </x:c>
      <x:c r="R10" t="n">
        <x:v>-26</x:v>
      </x:c>
      <x:c r="S10" t="n">
        <x:v>35.3</x:v>
      </x:c>
      <x:c r="T10" t="n">
        <x:v>37</x:v>
      </x:c>
      <x:c r="U10" t="n">
        <x:v>68</x:v>
      </x:c>
    </x:row>
    <x:row r="11">
      <x:c r="A11" s="42" t="str">
        <x:v>淄博-demo</x:v>
      </x:c>
      <x:c r="B11" s="42" t="str">
        <x:v>淄博</x:v>
      </x:c>
      <x:c r="C11" s="42" t="str">
        <x:v>历史正例模板</x:v>
      </x:c>
      <x:c r="D11" s="63" t="n">
        <x:v>-25</x:v>
      </x:c>
      <x:c r="E11" s="63" t="n">
        <x:v>19.6</x:v>
      </x:c>
      <x:c r="F11" s="63" t="n">
        <x:v>11.9</x:v>
      </x:c>
      <x:c r="G11" s="63" t="n">
        <x:v>27.8</x:v>
      </x:c>
      <x:c r="H11" s="63" t="n">
        <x:v>78</x:v>
      </x:c>
      <x:c r="I11" s="63" t="n">
        <x:v>65</x:v>
      </x:c>
      <x:c r="J11" s="63" t="n">
        <x:v>69</x:v>
      </x:c>
      <x:c r="K11" s="63" t="n">
        <x:v>82</x:v>
      </x:c>
      <x:c r="L11" s="63" t="n">
        <x:v>19.1</x:v>
      </x:c>
      <x:c r="M11" s="63" t="n">
        <x:v>16.2</x:v>
      </x:c>
      <x:c r="N11" s="63" t="n">
        <x:v>37.2</x:v>
      </x:c>
      <x:c r="O11" s="63" t="n">
        <x:v>1</x:v>
      </x:c>
      <x:c r="P11" s="42" t="str">
        <x:v>模拟数据/方法演示</x:v>
      </x:c>
      <x:c r="R11" t="n">
        <x:v>-25</x:v>
      </x:c>
      <x:c r="S11" t="n">
        <x:v>36.1</x:v>
      </x:c>
      <x:c r="T11" t="n">
        <x:v>35.1</x:v>
      </x:c>
      <x:c r="U11" t="n">
        <x:v>68</x:v>
      </x:c>
    </x:row>
    <x:row r="12">
      <x:c r="A12" s="42" t="str">
        <x:v>淄博-demo</x:v>
      </x:c>
      <x:c r="B12" s="42" t="str">
        <x:v>淄博</x:v>
      </x:c>
      <x:c r="C12" s="42" t="str">
        <x:v>历史正例模板</x:v>
      </x:c>
      <x:c r="D12" s="63" t="n">
        <x:v>-24</x:v>
      </x:c>
      <x:c r="E12" s="63" t="n">
        <x:v>22.1</x:v>
      </x:c>
      <x:c r="F12" s="63" t="n">
        <x:v>17.7</x:v>
      </x:c>
      <x:c r="G12" s="63" t="n">
        <x:v>29.1</x:v>
      </x:c>
      <x:c r="H12" s="63" t="n">
        <x:v>78</x:v>
      </x:c>
      <x:c r="I12" s="63" t="n">
        <x:v>65</x:v>
      </x:c>
      <x:c r="J12" s="63" t="n">
        <x:v>69</x:v>
      </x:c>
      <x:c r="K12" s="63" t="n">
        <x:v>82</x:v>
      </x:c>
      <x:c r="L12" s="63" t="n">
        <x:v>26.5</x:v>
      </x:c>
      <x:c r="M12" s="63" t="n">
        <x:v>18.4</x:v>
      </x:c>
      <x:c r="N12" s="63" t="n">
        <x:v>39.4</x:v>
      </x:c>
      <x:c r="O12" s="63" t="n">
        <x:v>1</x:v>
      </x:c>
      <x:c r="P12" s="42" t="str">
        <x:v>模拟数据/方法演示</x:v>
      </x:c>
      <x:c r="R12" t="n">
        <x:v>-24</x:v>
      </x:c>
      <x:c r="S12" t="n">
        <x:v>35.4</x:v>
      </x:c>
      <x:c r="T12" t="n">
        <x:v>37</x:v>
      </x:c>
      <x:c r="U12" t="n">
        <x:v>68</x:v>
      </x:c>
    </x:row>
    <x:row r="13">
      <x:c r="A13" s="42" t="str">
        <x:v>淄博-demo</x:v>
      </x:c>
      <x:c r="B13" s="42" t="str">
        <x:v>淄博</x:v>
      </x:c>
      <x:c r="C13" s="42" t="str">
        <x:v>历史正例模板</x:v>
      </x:c>
      <x:c r="D13" s="63" t="n">
        <x:v>-23</x:v>
      </x:c>
      <x:c r="E13" s="63" t="n">
        <x:v>18.4</x:v>
      </x:c>
      <x:c r="F13" s="63" t="n">
        <x:v>20.2</x:v>
      </x:c>
      <x:c r="G13" s="63" t="n">
        <x:v>26.6</x:v>
      </x:c>
      <x:c r="H13" s="63" t="n">
        <x:v>78</x:v>
      </x:c>
      <x:c r="I13" s="63" t="n">
        <x:v>65</x:v>
      </x:c>
      <x:c r="J13" s="63" t="n">
        <x:v>69</x:v>
      </x:c>
      <x:c r="K13" s="63" t="n">
        <x:v>82</x:v>
      </x:c>
      <x:c r="L13" s="63" t="n">
        <x:v>23.4</x:v>
      </x:c>
      <x:c r="M13" s="63" t="n">
        <x:v>18.9</x:v>
      </x:c>
      <x:c r="N13" s="63" t="n">
        <x:v>38.3</x:v>
      </x:c>
      <x:c r="O13" s="63" t="n">
        <x:v>1</x:v>
      </x:c>
      <x:c r="P13" s="42" t="str">
        <x:v>模拟数据/方法演示</x:v>
      </x:c>
      <x:c r="R13" t="n">
        <x:v>-23</x:v>
      </x:c>
      <x:c r="S13" t="n">
        <x:v>37.2</x:v>
      </x:c>
      <x:c r="T13" t="n">
        <x:v>37.2</x:v>
      </x:c>
      <x:c r="U13" t="n">
        <x:v>68</x:v>
      </x:c>
    </x:row>
    <x:row r="14">
      <x:c r="A14" s="42" t="str">
        <x:v>淄博-demo</x:v>
      </x:c>
      <x:c r="B14" s="42" t="str">
        <x:v>淄博</x:v>
      </x:c>
      <x:c r="C14" s="42" t="str">
        <x:v>历史正例模板</x:v>
      </x:c>
      <x:c r="D14" s="63" t="n">
        <x:v>-22</x:v>
      </x:c>
      <x:c r="E14" s="63" t="n">
        <x:v>23.2</x:v>
      </x:c>
      <x:c r="F14" s="63" t="n">
        <x:v>15.9</x:v>
      </x:c>
      <x:c r="G14" s="63" t="n">
        <x:v>29.4</x:v>
      </x:c>
      <x:c r="H14" s="63" t="n">
        <x:v>78</x:v>
      </x:c>
      <x:c r="I14" s="63" t="n">
        <x:v>65</x:v>
      </x:c>
      <x:c r="J14" s="63" t="n">
        <x:v>69</x:v>
      </x:c>
      <x:c r="K14" s="63" t="n">
        <x:v>82</x:v>
      </x:c>
      <x:c r="L14" s="63" t="n">
        <x:v>20.8</x:v>
      </x:c>
      <x:c r="M14" s="63" t="n">
        <x:v>15.3</x:v>
      </x:c>
      <x:c r="N14" s="63" t="n">
        <x:v>39.2</x:v>
      </x:c>
      <x:c r="O14" s="63" t="n">
        <x:v>1</x:v>
      </x:c>
      <x:c r="P14" s="42" t="str">
        <x:v>模拟数据/方法演示</x:v>
      </x:c>
      <x:c r="R14" t="n">
        <x:v>-22</x:v>
      </x:c>
      <x:c r="S14" t="n">
        <x:v>34.7</x:v>
      </x:c>
      <x:c r="T14" t="n">
        <x:v>34.6</x:v>
      </x:c>
      <x:c r="U14" t="n">
        <x:v>68</x:v>
      </x:c>
    </x:row>
    <x:row r="15">
      <x:c r="A15" s="42" t="str">
        <x:v>淄博-demo</x:v>
      </x:c>
      <x:c r="B15" s="42" t="str">
        <x:v>淄博</x:v>
      </x:c>
      <x:c r="C15" s="42" t="str">
        <x:v>历史正例模板</x:v>
      </x:c>
      <x:c r="D15" s="63" t="n">
        <x:v>-21</x:v>
      </x:c>
      <x:c r="E15" s="63" t="n">
        <x:v>17.5</x:v>
      </x:c>
      <x:c r="F15" s="63" t="n">
        <x:v>14.4</x:v>
      </x:c>
      <x:c r="G15" s="63" t="n">
        <x:v>24.9</x:v>
      </x:c>
      <x:c r="H15" s="63" t="n">
        <x:v>78</x:v>
      </x:c>
      <x:c r="I15" s="63" t="n">
        <x:v>65</x:v>
      </x:c>
      <x:c r="J15" s="63" t="n">
        <x:v>69</x:v>
      </x:c>
      <x:c r="K15" s="63" t="n">
        <x:v>82</x:v>
      </x:c>
      <x:c r="L15" s="63" t="n">
        <x:v>26.8</x:v>
      </x:c>
      <x:c r="M15" s="63" t="n">
        <x:v>18.6</x:v>
      </x:c>
      <x:c r="N15" s="63" t="n">
        <x:v>37.3</x:v>
      </x:c>
      <x:c r="O15" s="63" t="n">
        <x:v>1</x:v>
      </x:c>
      <x:c r="P15" s="42" t="str">
        <x:v>模拟数据/方法演示</x:v>
      </x:c>
      <x:c r="R15" t="n">
        <x:v>-21</x:v>
      </x:c>
      <x:c r="S15" t="n">
        <x:v>36</x:v>
      </x:c>
      <x:c r="T15" t="n">
        <x:v>36.7</x:v>
      </x:c>
      <x:c r="U15" t="n">
        <x:v>68</x:v>
      </x:c>
    </x:row>
    <x:row r="16">
      <x:c r="A16" s="42" t="str">
        <x:v>淄博-demo</x:v>
      </x:c>
      <x:c r="B16" s="42" t="str">
        <x:v>淄博</x:v>
      </x:c>
      <x:c r="C16" s="42" t="str">
        <x:v>历史正例模板</x:v>
      </x:c>
      <x:c r="D16" s="63" t="n">
        <x:v>-20</x:v>
      </x:c>
      <x:c r="E16" s="63" t="n">
        <x:v>18.5</x:v>
      </x:c>
      <x:c r="F16" s="63" t="n">
        <x:v>19</x:v>
      </x:c>
      <x:c r="G16" s="63" t="n">
        <x:v>24.8</x:v>
      </x:c>
      <x:c r="H16" s="63" t="n">
        <x:v>78</x:v>
      </x:c>
      <x:c r="I16" s="63" t="n">
        <x:v>65</x:v>
      </x:c>
      <x:c r="J16" s="63" t="n">
        <x:v>69</x:v>
      </x:c>
      <x:c r="K16" s="63" t="n">
        <x:v>82</x:v>
      </x:c>
      <x:c r="L16" s="63" t="n">
        <x:v>22.6</x:v>
      </x:c>
      <x:c r="M16" s="63" t="n">
        <x:v>20.2</x:v>
      </x:c>
      <x:c r="N16" s="63" t="n">
        <x:v>37.6</x:v>
      </x:c>
      <x:c r="O16" s="63" t="n">
        <x:v>1</x:v>
      </x:c>
      <x:c r="P16" s="42" t="str">
        <x:v>模拟数据/方法演示</x:v>
      </x:c>
      <x:c r="R16" t="n">
        <x:v>-20</x:v>
      </x:c>
      <x:c r="S16" t="n">
        <x:v>36.8</x:v>
      </x:c>
      <x:c r="T16" t="n">
        <x:v>36.5</x:v>
      </x:c>
      <x:c r="U16" t="n">
        <x:v>68</x:v>
      </x:c>
    </x:row>
    <x:row r="17">
      <x:c r="A17" s="42" t="str">
        <x:v>淄博-demo</x:v>
      </x:c>
      <x:c r="B17" s="42" t="str">
        <x:v>淄博</x:v>
      </x:c>
      <x:c r="C17" s="42" t="str">
        <x:v>历史正例模板</x:v>
      </x:c>
      <x:c r="D17" s="63" t="n">
        <x:v>-19</x:v>
      </x:c>
      <x:c r="E17" s="63" t="n">
        <x:v>23.7</x:v>
      </x:c>
      <x:c r="F17" s="63" t="n">
        <x:v>16.7</x:v>
      </x:c>
      <x:c r="G17" s="63" t="n">
        <x:v>27</x:v>
      </x:c>
      <x:c r="H17" s="63" t="n">
        <x:v>78</x:v>
      </x:c>
      <x:c r="I17" s="63" t="n">
        <x:v>65</x:v>
      </x:c>
      <x:c r="J17" s="63" t="n">
        <x:v>69</x:v>
      </x:c>
      <x:c r="K17" s="63" t="n">
        <x:v>82</x:v>
      </x:c>
      <x:c r="L17" s="63" t="n">
        <x:v>21.1</x:v>
      </x:c>
      <x:c r="M17" s="63" t="n">
        <x:v>17.9</x:v>
      </x:c>
      <x:c r="N17" s="63" t="n">
        <x:v>38.8</x:v>
      </x:c>
      <x:c r="O17" s="63" t="n">
        <x:v>1</x:v>
      </x:c>
      <x:c r="P17" s="42" t="str">
        <x:v>模拟数据/方法演示</x:v>
      </x:c>
      <x:c r="R17" t="n">
        <x:v>-19</x:v>
      </x:c>
      <x:c r="S17" t="n">
        <x:v>38.1</x:v>
      </x:c>
      <x:c r="T17" t="n">
        <x:v>34.6</x:v>
      </x:c>
      <x:c r="U17" t="n">
        <x:v>68</x:v>
      </x:c>
    </x:row>
    <x:row r="18">
      <x:c r="A18" s="42" t="str">
        <x:v>淄博-demo</x:v>
      </x:c>
      <x:c r="B18" s="42" t="str">
        <x:v>淄博</x:v>
      </x:c>
      <x:c r="C18" s="42" t="str">
        <x:v>历史正例模板</x:v>
      </x:c>
      <x:c r="D18" s="63" t="n">
        <x:v>-18</x:v>
      </x:c>
      <x:c r="E18" s="63" t="n">
        <x:v>21.2</x:v>
      </x:c>
      <x:c r="F18" s="63" t="n">
        <x:v>20.8</x:v>
      </x:c>
      <x:c r="G18" s="63" t="n">
        <x:v>29</x:v>
      </x:c>
      <x:c r="H18" s="63" t="n">
        <x:v>78</x:v>
      </x:c>
      <x:c r="I18" s="63" t="n">
        <x:v>65</x:v>
      </x:c>
      <x:c r="J18" s="63" t="n">
        <x:v>69</x:v>
      </x:c>
      <x:c r="K18" s="63" t="n">
        <x:v>82</x:v>
      </x:c>
      <x:c r="L18" s="63" t="n">
        <x:v>23.8</x:v>
      </x:c>
      <x:c r="M18" s="63" t="n">
        <x:v>19.8</x:v>
      </x:c>
      <x:c r="N18" s="63" t="n">
        <x:v>39.2</x:v>
      </x:c>
      <x:c r="O18" s="63" t="n">
        <x:v>1</x:v>
      </x:c>
      <x:c r="P18" s="42" t="str">
        <x:v>模拟数据/方法演示</x:v>
      </x:c>
      <x:c r="R18" t="n">
        <x:v>-18</x:v>
      </x:c>
      <x:c r="S18" t="n">
        <x:v>37</x:v>
      </x:c>
      <x:c r="T18" t="n">
        <x:v>34</x:v>
      </x:c>
      <x:c r="U18" t="n">
        <x:v>68</x:v>
      </x:c>
    </x:row>
    <x:row r="19">
      <x:c r="A19" s="42" t="str">
        <x:v>淄博-demo</x:v>
      </x:c>
      <x:c r="B19" s="42" t="str">
        <x:v>淄博</x:v>
      </x:c>
      <x:c r="C19" s="42" t="str">
        <x:v>历史正例模板</x:v>
      </x:c>
      <x:c r="D19" s="63" t="n">
        <x:v>-17</x:v>
      </x:c>
      <x:c r="E19" s="63" t="n">
        <x:v>27.5</x:v>
      </x:c>
      <x:c r="F19" s="63" t="n">
        <x:v>23.5</x:v>
      </x:c>
      <x:c r="G19" s="63" t="n">
        <x:v>27.6</x:v>
      </x:c>
      <x:c r="H19" s="63" t="n">
        <x:v>78</x:v>
      </x:c>
      <x:c r="I19" s="63" t="n">
        <x:v>65</x:v>
      </x:c>
      <x:c r="J19" s="63" t="n">
        <x:v>69</x:v>
      </x:c>
      <x:c r="K19" s="63" t="n">
        <x:v>82</x:v>
      </x:c>
      <x:c r="L19" s="63" t="n">
        <x:v>26.1</x:v>
      </x:c>
      <x:c r="M19" s="63" t="n">
        <x:v>17.7</x:v>
      </x:c>
      <x:c r="N19" s="63" t="n">
        <x:v>41.5</x:v>
      </x:c>
      <x:c r="O19" s="63" t="n">
        <x:v>1</x:v>
      </x:c>
      <x:c r="P19" s="42" t="str">
        <x:v>模拟数据/方法演示</x:v>
      </x:c>
      <x:c r="R19" t="n">
        <x:v>-17</x:v>
      </x:c>
      <x:c r="S19" t="n">
        <x:v>37.5</x:v>
      </x:c>
      <x:c r="T19" t="n">
        <x:v>33.7</x:v>
      </x:c>
      <x:c r="U19" t="n">
        <x:v>68</x:v>
      </x:c>
    </x:row>
    <x:row r="20">
      <x:c r="A20" s="42" t="str">
        <x:v>淄博-demo</x:v>
      </x:c>
      <x:c r="B20" s="42" t="str">
        <x:v>淄博</x:v>
      </x:c>
      <x:c r="C20" s="42" t="str">
        <x:v>历史正例模板</x:v>
      </x:c>
      <x:c r="D20" s="63" t="n">
        <x:v>-16</x:v>
      </x:c>
      <x:c r="E20" s="63" t="n">
        <x:v>28.9</x:v>
      </x:c>
      <x:c r="F20" s="63" t="n">
        <x:v>22.5</x:v>
      </x:c>
      <x:c r="G20" s="63" t="n">
        <x:v>26.7</x:v>
      </x:c>
      <x:c r="H20" s="63" t="n">
        <x:v>78</x:v>
      </x:c>
      <x:c r="I20" s="63" t="n">
        <x:v>65</x:v>
      </x:c>
      <x:c r="J20" s="63" t="n">
        <x:v>69</x:v>
      </x:c>
      <x:c r="K20" s="63" t="n">
        <x:v>82</x:v>
      </x:c>
      <x:c r="L20" s="63" t="n">
        <x:v>24.1</x:v>
      </x:c>
      <x:c r="M20" s="63" t="n">
        <x:v>18.1</x:v>
      </x:c>
      <x:c r="N20" s="63" t="n">
        <x:v>41.2</x:v>
      </x:c>
      <x:c r="O20" s="63" t="n">
        <x:v>1</x:v>
      </x:c>
      <x:c r="P20" s="42" t="str">
        <x:v>模拟数据/方法演示</x:v>
      </x:c>
      <x:c r="R20" t="n">
        <x:v>-16</x:v>
      </x:c>
      <x:c r="S20" t="n">
        <x:v>39.4</x:v>
      </x:c>
      <x:c r="T20" t="n">
        <x:v>32.1</x:v>
      </x:c>
      <x:c r="U20" t="n">
        <x:v>68</x:v>
      </x:c>
    </x:row>
    <x:row r="21">
      <x:c r="A21" s="42" t="str">
        <x:v>淄博-demo</x:v>
      </x:c>
      <x:c r="B21" s="42" t="str">
        <x:v>淄博</x:v>
      </x:c>
      <x:c r="C21" s="42" t="str">
        <x:v>历史正例模板</x:v>
      </x:c>
      <x:c r="D21" s="63" t="n">
        <x:v>-15</x:v>
      </x:c>
      <x:c r="E21" s="63" t="n">
        <x:v>35</x:v>
      </x:c>
      <x:c r="F21" s="63" t="n">
        <x:v>25.1</x:v>
      </x:c>
      <x:c r="G21" s="63" t="n">
        <x:v>29.5</x:v>
      </x:c>
      <x:c r="H21" s="63" t="n">
        <x:v>78</x:v>
      </x:c>
      <x:c r="I21" s="63" t="n">
        <x:v>65</x:v>
      </x:c>
      <x:c r="J21" s="63" t="n">
        <x:v>69</x:v>
      </x:c>
      <x:c r="K21" s="63" t="n">
        <x:v>82</x:v>
      </x:c>
      <x:c r="L21" s="63" t="n">
        <x:v>27.3</x:v>
      </x:c>
      <x:c r="M21" s="63" t="n">
        <x:v>17.6</x:v>
      </x:c>
      <x:c r="N21" s="63" t="n">
        <x:v>43.8</x:v>
      </x:c>
      <x:c r="O21" s="63" t="n">
        <x:v>1</x:v>
      </x:c>
      <x:c r="P21" s="42" t="str">
        <x:v>模拟数据/方法演示</x:v>
      </x:c>
      <x:c r="R21" t="n">
        <x:v>-15</x:v>
      </x:c>
      <x:c r="S21" t="n">
        <x:v>40.6</x:v>
      </x:c>
      <x:c r="T21" t="n">
        <x:v>33.8</x:v>
      </x:c>
      <x:c r="U21" t="n">
        <x:v>68</x:v>
      </x:c>
    </x:row>
    <x:row r="22">
      <x:c r="A22" s="42" t="str">
        <x:v>淄博-demo</x:v>
      </x:c>
      <x:c r="B22" s="42" t="str">
        <x:v>淄博</x:v>
      </x:c>
      <x:c r="C22" s="42" t="str">
        <x:v>历史正例模板</x:v>
      </x:c>
      <x:c r="D22" s="63" t="n">
        <x:v>-14</x:v>
      </x:c>
      <x:c r="E22" s="63" t="n">
        <x:v>41.5</x:v>
      </x:c>
      <x:c r="F22" s="63" t="n">
        <x:v>25.5</x:v>
      </x:c>
      <x:c r="G22" s="63" t="n">
        <x:v>29.9</x:v>
      </x:c>
      <x:c r="H22" s="63" t="n">
        <x:v>78</x:v>
      </x:c>
      <x:c r="I22" s="63" t="n">
        <x:v>65</x:v>
      </x:c>
      <x:c r="J22" s="63" t="n">
        <x:v>69</x:v>
      </x:c>
      <x:c r="K22" s="63" t="n">
        <x:v>82</x:v>
      </x:c>
      <x:c r="L22" s="63" t="n">
        <x:v>30</x:v>
      </x:c>
      <x:c r="M22" s="63" t="n">
        <x:v>15.8</x:v>
      </x:c>
      <x:c r="N22" s="63" t="n">
        <x:v>45.9</x:v>
      </x:c>
      <x:c r="O22" s="63" t="n">
        <x:v>1</x:v>
      </x:c>
      <x:c r="P22" s="42" t="str">
        <x:v>模拟数据/方法演示</x:v>
      </x:c>
      <x:c r="R22" t="n">
        <x:v>-14</x:v>
      </x:c>
      <x:c r="S22" t="n">
        <x:v>41.3</x:v>
      </x:c>
      <x:c r="T22" t="n">
        <x:v>33.2</x:v>
      </x:c>
      <x:c r="U22" t="n">
        <x:v>68</x:v>
      </x:c>
    </x:row>
    <x:row r="23">
      <x:c r="A23" s="42" t="str">
        <x:v>淄博-demo</x:v>
      </x:c>
      <x:c r="B23" s="42" t="str">
        <x:v>淄博</x:v>
      </x:c>
      <x:c r="C23" s="42" t="str">
        <x:v>历史正例模板</x:v>
      </x:c>
      <x:c r="D23" s="63" t="n">
        <x:v>-13</x:v>
      </x:c>
      <x:c r="E23" s="63" t="n">
        <x:v>45.1</x:v>
      </x:c>
      <x:c r="F23" s="63" t="n">
        <x:v>31</x:v>
      </x:c>
      <x:c r="G23" s="63" t="n">
        <x:v>21.7</x:v>
      </x:c>
      <x:c r="H23" s="63" t="n">
        <x:v>78</x:v>
      </x:c>
      <x:c r="I23" s="63" t="n">
        <x:v>65</x:v>
      </x:c>
      <x:c r="J23" s="63" t="n">
        <x:v>69</x:v>
      </x:c>
      <x:c r="K23" s="63" t="n">
        <x:v>82</x:v>
      </x:c>
      <x:c r="L23" s="63" t="n">
        <x:v>33.6</x:v>
      </x:c>
      <x:c r="M23" s="63" t="n">
        <x:v>18.5</x:v>
      </x:c>
      <x:c r="N23" s="63" t="n">
        <x:v>46.6</x:v>
      </x:c>
      <x:c r="O23" s="63" t="n">
        <x:v>1</x:v>
      </x:c>
      <x:c r="P23" s="42" t="str">
        <x:v>模拟数据/方法演示</x:v>
      </x:c>
      <x:c r="R23" t="n">
        <x:v>-13</x:v>
      </x:c>
      <x:c r="S23" t="n">
        <x:v>43.2</x:v>
      </x:c>
      <x:c r="T23" t="n">
        <x:v>32.8</x:v>
      </x:c>
      <x:c r="U23" t="n">
        <x:v>68</x:v>
      </x:c>
    </x:row>
    <x:row r="24">
      <x:c r="A24" s="42" t="str">
        <x:v>淄博-demo</x:v>
      </x:c>
      <x:c r="B24" s="42" t="str">
        <x:v>淄博</x:v>
      </x:c>
      <x:c r="C24" s="42" t="str">
        <x:v>历史正例模板</x:v>
      </x:c>
      <x:c r="D24" s="63" t="n">
        <x:v>-12</x:v>
      </x:c>
      <x:c r="E24" s="63" t="n">
        <x:v>42.7</x:v>
      </x:c>
      <x:c r="F24" s="63" t="n">
        <x:v>35.8</x:v>
      </x:c>
      <x:c r="G24" s="63" t="n">
        <x:v>29.3</x:v>
      </x:c>
      <x:c r="H24" s="63" t="n">
        <x:v>78</x:v>
      </x:c>
      <x:c r="I24" s="63" t="n">
        <x:v>65</x:v>
      </x:c>
      <x:c r="J24" s="63" t="n">
        <x:v>69</x:v>
      </x:c>
      <x:c r="K24" s="63" t="n">
        <x:v>82</x:v>
      </x:c>
      <x:c r="L24" s="63" t="n">
        <x:v>32.8</x:v>
      </x:c>
      <x:c r="M24" s="63" t="n">
        <x:v>19.4</x:v>
      </x:c>
      <x:c r="N24" s="63" t="n">
        <x:v>47.7</x:v>
      </x:c>
      <x:c r="O24" s="63" t="n">
        <x:v>1</x:v>
      </x:c>
      <x:c r="P24" s="42" t="str">
        <x:v>模拟数据/方法演示</x:v>
      </x:c>
      <x:c r="R24" t="n">
        <x:v>-12</x:v>
      </x:c>
      <x:c r="S24" t="n">
        <x:v>43.1</x:v>
      </x:c>
      <x:c r="T24" t="n">
        <x:v>32.2</x:v>
      </x:c>
      <x:c r="U24" t="n">
        <x:v>68</x:v>
      </x:c>
    </x:row>
    <x:row r="25">
      <x:c r="A25" s="42" t="str">
        <x:v>淄博-demo</x:v>
      </x:c>
      <x:c r="B25" s="42" t="str">
        <x:v>淄博</x:v>
      </x:c>
      <x:c r="C25" s="42" t="str">
        <x:v>历史正例模板</x:v>
      </x:c>
      <x:c r="D25" s="63" t="n">
        <x:v>-11</x:v>
      </x:c>
      <x:c r="E25" s="63" t="n">
        <x:v>54.8</x:v>
      </x:c>
      <x:c r="F25" s="63" t="n">
        <x:v>36.9</x:v>
      </x:c>
      <x:c r="G25" s="63" t="n">
        <x:v>27.5</x:v>
      </x:c>
      <x:c r="H25" s="63" t="n">
        <x:v>78</x:v>
      </x:c>
      <x:c r="I25" s="63" t="n">
        <x:v>65</x:v>
      </x:c>
      <x:c r="J25" s="63" t="n">
        <x:v>69</x:v>
      </x:c>
      <x:c r="K25" s="63" t="n">
        <x:v>82</x:v>
      </x:c>
      <x:c r="L25" s="63" t="n">
        <x:v>34.9</x:v>
      </x:c>
      <x:c r="M25" s="63" t="n">
        <x:v>18</x:v>
      </x:c>
      <x:c r="N25" s="63" t="n">
        <x:v>50.7</x:v>
      </x:c>
      <x:c r="O25" s="63" t="n">
        <x:v>1</x:v>
      </x:c>
      <x:c r="P25" s="42" t="str">
        <x:v>模拟数据/方法演示</x:v>
      </x:c>
      <x:c r="R25" t="n">
        <x:v>-11</x:v>
      </x:c>
      <x:c r="S25" t="n">
        <x:v>45.2</x:v>
      </x:c>
      <x:c r="T25" t="n">
        <x:v>34.4</x:v>
      </x:c>
      <x:c r="U25" t="n">
        <x:v>68</x:v>
      </x:c>
    </x:row>
    <x:row r="26">
      <x:c r="A26" s="42" t="str">
        <x:v>淄博-demo</x:v>
      </x:c>
      <x:c r="B26" s="42" t="str">
        <x:v>淄博</x:v>
      </x:c>
      <x:c r="C26" s="42" t="str">
        <x:v>历史正例模板</x:v>
      </x:c>
      <x:c r="D26" s="63" t="n">
        <x:v>-10</x:v>
      </x:c>
      <x:c r="E26" s="63" t="n">
        <x:v>55.9</x:v>
      </x:c>
      <x:c r="F26" s="63" t="n">
        <x:v>41.3</x:v>
      </x:c>
      <x:c r="G26" s="63" t="n">
        <x:v>27.9</x:v>
      </x:c>
      <x:c r="H26" s="63" t="n">
        <x:v>78</x:v>
      </x:c>
      <x:c r="I26" s="63" t="n">
        <x:v>65</x:v>
      </x:c>
      <x:c r="J26" s="63" t="n">
        <x:v>69</x:v>
      </x:c>
      <x:c r="K26" s="63" t="n">
        <x:v>82</x:v>
      </x:c>
      <x:c r="L26" s="63" t="n">
        <x:v>42.8</x:v>
      </x:c>
      <x:c r="M26" s="63" t="n">
        <x:v>22.1</x:v>
      </x:c>
      <x:c r="N26" s="63" t="n">
        <x:v>52</x:v>
      </x:c>
      <x:c r="O26" s="63" t="n">
        <x:v>1</x:v>
      </x:c>
      <x:c r="P26" s="42" t="str">
        <x:v>模拟数据/方法演示</x:v>
      </x:c>
      <x:c r="R26" t="n">
        <x:v>-10</x:v>
      </x:c>
      <x:c r="S26" t="n">
        <x:v>47.8</x:v>
      </x:c>
      <x:c r="T26" t="n">
        <x:v>33.8</x:v>
      </x:c>
      <x:c r="U26" t="n">
        <x:v>68</x:v>
      </x:c>
    </x:row>
    <x:row r="27">
      <x:c r="A27" s="42" t="str">
        <x:v>淄博-demo</x:v>
      </x:c>
      <x:c r="B27" s="42" t="str">
        <x:v>淄博</x:v>
      </x:c>
      <x:c r="C27" s="42" t="str">
        <x:v>历史正例模板</x:v>
      </x:c>
      <x:c r="D27" s="63" t="n">
        <x:v>-9</x:v>
      </x:c>
      <x:c r="E27" s="63" t="n">
        <x:v>55</x:v>
      </x:c>
      <x:c r="F27" s="63" t="n">
        <x:v>48.4</x:v>
      </x:c>
      <x:c r="G27" s="63" t="n">
        <x:v>28.8</x:v>
      </x:c>
      <x:c r="H27" s="63" t="n">
        <x:v>78</x:v>
      </x:c>
      <x:c r="I27" s="63" t="n">
        <x:v>65</x:v>
      </x:c>
      <x:c r="J27" s="63" t="n">
        <x:v>69</x:v>
      </x:c>
      <x:c r="K27" s="63" t="n">
        <x:v>82</x:v>
      </x:c>
      <x:c r="L27" s="63" t="n">
        <x:v>43.7</x:v>
      </x:c>
      <x:c r="M27" s="63" t="n">
        <x:v>22.2</x:v>
      </x:c>
      <x:c r="N27" s="63" t="n">
        <x:v>53.2</x:v>
      </x:c>
      <x:c r="O27" s="63" t="n">
        <x:v>1</x:v>
      </x:c>
      <x:c r="P27" s="42" t="str">
        <x:v>模拟数据/方法演示</x:v>
      </x:c>
      <x:c r="R27" t="n">
        <x:v>-9</x:v>
      </x:c>
      <x:c r="S27" t="n">
        <x:v>49.4</x:v>
      </x:c>
      <x:c r="T27" t="n">
        <x:v>33.8</x:v>
      </x:c>
      <x:c r="U27" t="n">
        <x:v>68</x:v>
      </x:c>
    </x:row>
    <x:row r="28">
      <x:c r="A28" s="42" t="str">
        <x:v>淄博-demo</x:v>
      </x:c>
      <x:c r="B28" s="42" t="str">
        <x:v>淄博</x:v>
      </x:c>
      <x:c r="C28" s="42" t="str">
        <x:v>历史正例模板</x:v>
      </x:c>
      <x:c r="D28" s="63" t="n">
        <x:v>-8</x:v>
      </x:c>
      <x:c r="E28" s="63" t="n">
        <x:v>57.3</x:v>
      </x:c>
      <x:c r="F28" s="63" t="n">
        <x:v>51.5</x:v>
      </x:c>
      <x:c r="G28" s="63" t="n">
        <x:v>30.4</x:v>
      </x:c>
      <x:c r="H28" s="63" t="n">
        <x:v>78</x:v>
      </x:c>
      <x:c r="I28" s="63" t="n">
        <x:v>65</x:v>
      </x:c>
      <x:c r="J28" s="63" t="n">
        <x:v>69</x:v>
      </x:c>
      <x:c r="K28" s="63" t="n">
        <x:v>82</x:v>
      </x:c>
      <x:c r="L28" s="63" t="n">
        <x:v>46</x:v>
      </x:c>
      <x:c r="M28" s="63" t="n">
        <x:v>22</x:v>
      </x:c>
      <x:c r="N28" s="63" t="n">
        <x:v>54.8</x:v>
      </x:c>
      <x:c r="O28" s="63" t="n">
        <x:v>1</x:v>
      </x:c>
      <x:c r="P28" s="42" t="str">
        <x:v>模拟数据/方法演示</x:v>
      </x:c>
      <x:c r="R28" t="n">
        <x:v>-8</x:v>
      </x:c>
      <x:c r="S28" t="n">
        <x:v>53.4</x:v>
      </x:c>
      <x:c r="T28" t="n">
        <x:v>31.6</x:v>
      </x:c>
      <x:c r="U28" t="n">
        <x:v>68</x:v>
      </x:c>
    </x:row>
    <x:row r="29">
      <x:c r="A29" s="42" t="str">
        <x:v>淄博-demo</x:v>
      </x:c>
      <x:c r="B29" s="42" t="str">
        <x:v>淄博</x:v>
      </x:c>
      <x:c r="C29" s="42" t="str">
        <x:v>历史正例模板</x:v>
      </x:c>
      <x:c r="D29" s="63" t="n">
        <x:v>-7</x:v>
      </x:c>
      <x:c r="E29" s="63" t="n">
        <x:v>66</x:v>
      </x:c>
      <x:c r="F29" s="63" t="n">
        <x:v>57.9</x:v>
      </x:c>
      <x:c r="G29" s="63" t="n">
        <x:v>34.8</x:v>
      </x:c>
      <x:c r="H29" s="63" t="n">
        <x:v>78</x:v>
      </x:c>
      <x:c r="I29" s="63" t="n">
        <x:v>65</x:v>
      </x:c>
      <x:c r="J29" s="63" t="n">
        <x:v>69</x:v>
      </x:c>
      <x:c r="K29" s="63" t="n">
        <x:v>82</x:v>
      </x:c>
      <x:c r="L29" s="63" t="n">
        <x:v>54.6</x:v>
      </x:c>
      <x:c r="M29" s="63" t="n">
        <x:v>24.3</x:v>
      </x:c>
      <x:c r="N29" s="63" t="n">
        <x:v>58.9</x:v>
      </x:c>
      <x:c r="O29" s="63" t="n">
        <x:v>1</x:v>
      </x:c>
      <x:c r="P29" s="42" t="str">
        <x:v>模拟数据/方法演示</x:v>
      </x:c>
      <x:c r="R29" t="n">
        <x:v>-7</x:v>
      </x:c>
      <x:c r="S29" t="n">
        <x:v>54.1</x:v>
      </x:c>
      <x:c r="T29" t="n">
        <x:v>33.9</x:v>
      </x:c>
      <x:c r="U29" t="n">
        <x:v>68</x:v>
      </x:c>
    </x:row>
    <x:row r="30">
      <x:c r="A30" s="42" t="str">
        <x:v>淄博-demo</x:v>
      </x:c>
      <x:c r="B30" s="42" t="str">
        <x:v>淄博</x:v>
      </x:c>
      <x:c r="C30" s="42" t="str">
        <x:v>历史正例模板</x:v>
      </x:c>
      <x:c r="D30" s="63" t="n">
        <x:v>-6</x:v>
      </x:c>
      <x:c r="E30" s="63" t="n">
        <x:v>68.2</x:v>
      </x:c>
      <x:c r="F30" s="63" t="n">
        <x:v>55.1</x:v>
      </x:c>
      <x:c r="G30" s="63" t="n">
        <x:v>38.2</x:v>
      </x:c>
      <x:c r="H30" s="63" t="n">
        <x:v>78</x:v>
      </x:c>
      <x:c r="I30" s="63" t="n">
        <x:v>65</x:v>
      </x:c>
      <x:c r="J30" s="63" t="n">
        <x:v>69</x:v>
      </x:c>
      <x:c r="K30" s="63" t="n">
        <x:v>82</x:v>
      </x:c>
      <x:c r="L30" s="63" t="n">
        <x:v>56.7</x:v>
      </x:c>
      <x:c r="M30" s="63" t="n">
        <x:v>25.3</x:v>
      </x:c>
      <x:c r="N30" s="63" t="n">
        <x:v>59.3</x:v>
      </x:c>
      <x:c r="O30" s="63" t="n">
        <x:v>1</x:v>
      </x:c>
      <x:c r="P30" s="42" t="str">
        <x:v>模拟数据/方法演示</x:v>
      </x:c>
      <x:c r="R30" t="n">
        <x:v>-6</x:v>
      </x:c>
      <x:c r="S30" t="n">
        <x:v>55.6</x:v>
      </x:c>
      <x:c r="T30" t="n">
        <x:v>34.5</x:v>
      </x:c>
      <x:c r="U30" t="n">
        <x:v>68</x:v>
      </x:c>
    </x:row>
    <x:row r="31">
      <x:c r="A31" s="42" t="str">
        <x:v>淄博-demo</x:v>
      </x:c>
      <x:c r="B31" s="42" t="str">
        <x:v>淄博</x:v>
      </x:c>
      <x:c r="C31" s="42" t="str">
        <x:v>历史正例模板</x:v>
      </x:c>
      <x:c r="D31" s="63" t="n">
        <x:v>-5</x:v>
      </x:c>
      <x:c r="E31" s="63" t="n">
        <x:v>69.4</x:v>
      </x:c>
      <x:c r="F31" s="63" t="n">
        <x:v>64</x:v>
      </x:c>
      <x:c r="G31" s="63" t="n">
        <x:v>41.9</x:v>
      </x:c>
      <x:c r="H31" s="63" t="n">
        <x:v>78</x:v>
      </x:c>
      <x:c r="I31" s="63" t="n">
        <x:v>65</x:v>
      </x:c>
      <x:c r="J31" s="63" t="n">
        <x:v>69</x:v>
      </x:c>
      <x:c r="K31" s="63" t="n">
        <x:v>82</x:v>
      </x:c>
      <x:c r="L31" s="63" t="n">
        <x:v>56.6</x:v>
      </x:c>
      <x:c r="M31" s="63" t="n">
        <x:v>30.8</x:v>
      </x:c>
      <x:c r="N31" s="63" t="n">
        <x:v>60.8</x:v>
      </x:c>
      <x:c r="O31" s="63" t="n">
        <x:v>1</x:v>
      </x:c>
      <x:c r="P31" s="42" t="str">
        <x:v>模拟数据/方法演示</x:v>
      </x:c>
      <x:c r="R31" t="n">
        <x:v>-5</x:v>
      </x:c>
      <x:c r="S31" t="n">
        <x:v>58.1</x:v>
      </x:c>
      <x:c r="T31" t="n">
        <x:v>35.1</x:v>
      </x:c>
      <x:c r="U31" t="n">
        <x:v>68</x:v>
      </x:c>
    </x:row>
    <x:row r="32">
      <x:c r="A32" s="42" t="str">
        <x:v>淄博-demo</x:v>
      </x:c>
      <x:c r="B32" s="42" t="str">
        <x:v>淄博</x:v>
      </x:c>
      <x:c r="C32" s="42" t="str">
        <x:v>历史正例模板</x:v>
      </x:c>
      <x:c r="D32" s="63" t="n">
        <x:v>-4</x:v>
      </x:c>
      <x:c r="E32" s="63" t="n">
        <x:v>74.9</x:v>
      </x:c>
      <x:c r="F32" s="63" t="n">
        <x:v>64.3</x:v>
      </x:c>
      <x:c r="G32" s="63" t="n">
        <x:v>50.4</x:v>
      </x:c>
      <x:c r="H32" s="63" t="n">
        <x:v>78</x:v>
      </x:c>
      <x:c r="I32" s="63" t="n">
        <x:v>65</x:v>
      </x:c>
      <x:c r="J32" s="63" t="n">
        <x:v>69</x:v>
      </x:c>
      <x:c r="K32" s="63" t="n">
        <x:v>82</x:v>
      </x:c>
      <x:c r="L32" s="63" t="n">
        <x:v>62.3</x:v>
      </x:c>
      <x:c r="M32" s="63" t="n">
        <x:v>33.4</x:v>
      </x:c>
      <x:c r="N32" s="63" t="n">
        <x:v>63.3</x:v>
      </x:c>
      <x:c r="O32" s="63" t="n">
        <x:v>1</x:v>
      </x:c>
      <x:c r="P32" s="42" t="str">
        <x:v>模拟数据/方法演示</x:v>
      </x:c>
      <x:c r="R32" t="n">
        <x:v>-4</x:v>
      </x:c>
      <x:c r="S32" t="n">
        <x:v>60.7</x:v>
      </x:c>
      <x:c r="T32" t="n">
        <x:v>36</x:v>
      </x:c>
      <x:c r="U32" t="n">
        <x:v>68</x:v>
      </x:c>
    </x:row>
    <x:row r="33">
      <x:c r="A33" s="42" t="str">
        <x:v>淄博-demo</x:v>
      </x:c>
      <x:c r="B33" s="42" t="str">
        <x:v>淄博</x:v>
      </x:c>
      <x:c r="C33" s="42" t="str">
        <x:v>历史正例模板</x:v>
      </x:c>
      <x:c r="D33" s="63" t="n">
        <x:v>-3</x:v>
      </x:c>
      <x:c r="E33" s="63" t="n">
        <x:v>74.3</x:v>
      </x:c>
      <x:c r="F33" s="63" t="n">
        <x:v>65.5</x:v>
      </x:c>
      <x:c r="G33" s="63" t="n">
        <x:v>57</x:v>
      </x:c>
      <x:c r="H33" s="63" t="n">
        <x:v>78</x:v>
      </x:c>
      <x:c r="I33" s="63" t="n">
        <x:v>65</x:v>
      </x:c>
      <x:c r="J33" s="63" t="n">
        <x:v>69</x:v>
      </x:c>
      <x:c r="K33" s="63" t="n">
        <x:v>82</x:v>
      </x:c>
      <x:c r="L33" s="63" t="n">
        <x:v>63.7</x:v>
      </x:c>
      <x:c r="M33" s="63" t="n">
        <x:v>33.4</x:v>
      </x:c>
      <x:c r="N33" s="63" t="n">
        <x:v>64.3</x:v>
      </x:c>
      <x:c r="O33" s="63" t="n">
        <x:v>1</x:v>
      </x:c>
      <x:c r="P33" s="42" t="str">
        <x:v>模拟数据/方法演示</x:v>
      </x:c>
      <x:c r="R33" t="n">
        <x:v>-3</x:v>
      </x:c>
      <x:c r="S33" t="n">
        <x:v>62.4</x:v>
      </x:c>
      <x:c r="T33" t="n">
        <x:v>37.5</x:v>
      </x:c>
      <x:c r="U33" t="n">
        <x:v>68</x:v>
      </x:c>
    </x:row>
    <x:row r="34">
      <x:c r="A34" s="42" t="str">
        <x:v>淄博-demo</x:v>
      </x:c>
      <x:c r="B34" s="42" t="str">
        <x:v>淄博</x:v>
      </x:c>
      <x:c r="C34" s="42" t="str">
        <x:v>历史正例模板</x:v>
      </x:c>
      <x:c r="D34" s="63" t="n">
        <x:v>-2</x:v>
      </x:c>
      <x:c r="E34" s="63" t="n">
        <x:v>75.9</x:v>
      </x:c>
      <x:c r="F34" s="63" t="n">
        <x:v>70.2</x:v>
      </x:c>
      <x:c r="G34" s="63" t="n">
        <x:v>59.5</x:v>
      </x:c>
      <x:c r="H34" s="63" t="n">
        <x:v>78</x:v>
      </x:c>
      <x:c r="I34" s="63" t="n">
        <x:v>65</x:v>
      </x:c>
      <x:c r="J34" s="63" t="n">
        <x:v>69</x:v>
      </x:c>
      <x:c r="K34" s="63" t="n">
        <x:v>82</x:v>
      </x:c>
      <x:c r="L34" s="63" t="n">
        <x:v>69.5</x:v>
      </x:c>
      <x:c r="M34" s="63" t="n">
        <x:v>32.8</x:v>
      </x:c>
      <x:c r="N34" s="63" t="n">
        <x:v>66.4</x:v>
      </x:c>
      <x:c r="O34" s="63" t="n">
        <x:v>1</x:v>
      </x:c>
      <x:c r="P34" s="42" t="str">
        <x:v>模拟数据/方法演示</x:v>
      </x:c>
      <x:c r="R34" t="n">
        <x:v>-2</x:v>
      </x:c>
      <x:c r="S34" t="n">
        <x:v>64</x:v>
      </x:c>
      <x:c r="T34" t="n">
        <x:v>37.2</x:v>
      </x:c>
      <x:c r="U34" t="n">
        <x:v>68</x:v>
      </x:c>
    </x:row>
    <x:row r="35">
      <x:c r="A35" s="42" t="str">
        <x:v>淄博-demo</x:v>
      </x:c>
      <x:c r="B35" s="42" t="str">
        <x:v>淄博</x:v>
      </x:c>
      <x:c r="C35" s="42" t="str">
        <x:v>历史正例模板</x:v>
      </x:c>
      <x:c r="D35" s="63" t="n">
        <x:v>-1</x:v>
      </x:c>
      <x:c r="E35" s="63" t="n">
        <x:v>75.8</x:v>
      </x:c>
      <x:c r="F35" s="63" t="n">
        <x:v>70.7</x:v>
      </x:c>
      <x:c r="G35" s="63" t="n">
        <x:v>65.3</x:v>
      </x:c>
      <x:c r="H35" s="63" t="n">
        <x:v>78</x:v>
      </x:c>
      <x:c r="I35" s="63" t="n">
        <x:v>65</x:v>
      </x:c>
      <x:c r="J35" s="63" t="n">
        <x:v>69</x:v>
      </x:c>
      <x:c r="K35" s="63" t="n">
        <x:v>82</x:v>
      </x:c>
      <x:c r="L35" s="63" t="n">
        <x:v>71.6</x:v>
      </x:c>
      <x:c r="M35" s="63" t="n">
        <x:v>36.5</x:v>
      </x:c>
      <x:c r="N35" s="63" t="n">
        <x:v>66.9</x:v>
      </x:c>
      <x:c r="O35" s="63" t="n">
        <x:v>1</x:v>
      </x:c>
      <x:c r="P35" s="42" t="str">
        <x:v>模拟数据/方法演示</x:v>
      </x:c>
      <x:c r="R35" t="n">
        <x:v>-1</x:v>
      </x:c>
      <x:c r="S35" t="n">
        <x:v>62.9</x:v>
      </x:c>
      <x:c r="T35" t="n">
        <x:v>37.5</x:v>
      </x:c>
      <x:c r="U35" t="n">
        <x:v>68</x:v>
      </x:c>
    </x:row>
    <x:row r="36">
      <x:c r="A36" s="42" t="str">
        <x:v>淄博-demo</x:v>
      </x:c>
      <x:c r="B36" s="42" t="str">
        <x:v>淄博</x:v>
      </x:c>
      <x:c r="C36" s="42" t="str">
        <x:v>历史正例模板</x:v>
      </x:c>
      <x:c r="D36" s="63" t="n">
        <x:v>0</x:v>
      </x:c>
      <x:c r="E36" s="63" t="n">
        <x:v>82</x:v>
      </x:c>
      <x:c r="F36" s="63" t="n">
        <x:v>69.9</x:v>
      </x:c>
      <x:c r="G36" s="63" t="n">
        <x:v>72.2</x:v>
      </x:c>
      <x:c r="H36" s="63" t="n">
        <x:v>78</x:v>
      </x:c>
      <x:c r="I36" s="63" t="n">
        <x:v>65</x:v>
      </x:c>
      <x:c r="J36" s="63" t="n">
        <x:v>69</x:v>
      </x:c>
      <x:c r="K36" s="63" t="n">
        <x:v>82</x:v>
      </x:c>
      <x:c r="L36" s="63" t="n">
        <x:v>68.2</x:v>
      </x:c>
      <x:c r="M36" s="63" t="n">
        <x:v>38.5</x:v>
      </x:c>
      <x:c r="N36" s="63" t="n">
        <x:v>68.3</x:v>
      </x:c>
      <x:c r="O36" s="63" t="n">
        <x:v>1</x:v>
      </x:c>
      <x:c r="P36" s="42" t="str">
        <x:v>模拟数据/方法演示</x:v>
      </x:c>
      <x:c r="R36" t="n">
        <x:v>0</x:v>
      </x:c>
      <x:c r="S36" t="n">
        <x:v>65</x:v>
      </x:c>
      <x:c r="T36" t="n">
        <x:v>37.6</x:v>
      </x:c>
      <x:c r="U36" t="n">
        <x:v>68</x:v>
      </x:c>
    </x:row>
    <x:row r="37">
      <x:c r="A37" s="42" t="str">
        <x:v>淄博-demo</x:v>
      </x:c>
      <x:c r="B37" s="42" t="str">
        <x:v>淄博</x:v>
      </x:c>
      <x:c r="C37" s="42" t="str">
        <x:v>历史正例模板</x:v>
      </x:c>
      <x:c r="D37" s="63" t="n">
        <x:v>1</x:v>
      </x:c>
      <x:c r="E37" s="63" t="n">
        <x:v>79.5</x:v>
      </x:c>
      <x:c r="F37" s="63" t="n">
        <x:v>72.8</x:v>
      </x:c>
      <x:c r="G37" s="63" t="n">
        <x:v>73.1</x:v>
      </x:c>
      <x:c r="H37" s="63" t="n">
        <x:v>78</x:v>
      </x:c>
      <x:c r="I37" s="63" t="n">
        <x:v>65</x:v>
      </x:c>
      <x:c r="J37" s="63" t="n">
        <x:v>69</x:v>
      </x:c>
      <x:c r="K37" s="63" t="n">
        <x:v>82</x:v>
      </x:c>
      <x:c r="L37" s="63" t="n">
        <x:v>71.8</x:v>
      </x:c>
      <x:c r="M37" s="63" t="n">
        <x:v>40.5</x:v>
      </x:c>
      <x:c r="N37" s="63" t="n">
        <x:v>68.4</x:v>
      </x:c>
      <x:c r="O37" s="63" t="n">
        <x:v>1</x:v>
      </x:c>
      <x:c r="P37" s="42" t="str">
        <x:v>模拟数据/方法演示</x:v>
      </x:c>
      <x:c r="R37" t="n">
        <x:v>1</x:v>
      </x:c>
      <x:c r="S37" t="n">
        <x:v>65.5</x:v>
      </x:c>
      <x:c r="T37" t="n">
        <x:v>38.6</x:v>
      </x:c>
      <x:c r="U37" t="n">
        <x:v>68</x:v>
      </x:c>
    </x:row>
    <x:row r="38">
      <x:c r="A38" s="42" t="str">
        <x:v>淄博-demo</x:v>
      </x:c>
      <x:c r="B38" s="42" t="str">
        <x:v>淄博</x:v>
      </x:c>
      <x:c r="C38" s="42" t="str">
        <x:v>历史正例模板</x:v>
      </x:c>
      <x:c r="D38" s="63" t="n">
        <x:v>2</x:v>
      </x:c>
      <x:c r="E38" s="63" t="n">
        <x:v>83.4</x:v>
      </x:c>
      <x:c r="F38" s="63" t="n">
        <x:v>73</x:v>
      </x:c>
      <x:c r="G38" s="63" t="n">
        <x:v>75.4</x:v>
      </x:c>
      <x:c r="H38" s="63" t="n">
        <x:v>78</x:v>
      </x:c>
      <x:c r="I38" s="63" t="n">
        <x:v>65</x:v>
      </x:c>
      <x:c r="J38" s="63" t="n">
        <x:v>69</x:v>
      </x:c>
      <x:c r="K38" s="63" t="n">
        <x:v>82</x:v>
      </x:c>
      <x:c r="L38" s="63" t="n">
        <x:v>70.7</x:v>
      </x:c>
      <x:c r="M38" s="63" t="n">
        <x:v>42.1</x:v>
      </x:c>
      <x:c r="N38" s="63" t="n">
        <x:v>69.2</x:v>
      </x:c>
      <x:c r="O38" s="63" t="n">
        <x:v>1</x:v>
      </x:c>
      <x:c r="P38" s="42" t="str">
        <x:v>模拟数据/方法演示</x:v>
      </x:c>
      <x:c r="R38" t="n">
        <x:v>2</x:v>
      </x:c>
      <x:c r="S38" t="n">
        <x:v>67.3</x:v>
      </x:c>
      <x:c r="T38" t="n">
        <x:v>38.5</x:v>
      </x:c>
      <x:c r="U38" t="n">
        <x:v>68</x:v>
      </x:c>
    </x:row>
    <x:row r="39">
      <x:c r="A39" s="42" t="str">
        <x:v>淄博-demo</x:v>
      </x:c>
      <x:c r="B39" s="42" t="str">
        <x:v>淄博</x:v>
      </x:c>
      <x:c r="C39" s="42" t="str">
        <x:v>历史正例模板</x:v>
      </x:c>
      <x:c r="D39" s="63" t="n">
        <x:v>3</x:v>
      </x:c>
      <x:c r="E39" s="63" t="n">
        <x:v>80.5</x:v>
      </x:c>
      <x:c r="F39" s="63" t="n">
        <x:v>73.2</x:v>
      </x:c>
      <x:c r="G39" s="63" t="n">
        <x:v>78.9</x:v>
      </x:c>
      <x:c r="H39" s="63" t="n">
        <x:v>78</x:v>
      </x:c>
      <x:c r="I39" s="63" t="n">
        <x:v>65</x:v>
      </x:c>
      <x:c r="J39" s="63" t="n">
        <x:v>69</x:v>
      </x:c>
      <x:c r="K39" s="63" t="n">
        <x:v>82</x:v>
      </x:c>
      <x:c r="L39" s="63" t="n">
        <x:v>70.3</x:v>
      </x:c>
      <x:c r="M39" s="63" t="n">
        <x:v>43.1</x:v>
      </x:c>
      <x:c r="N39" s="63" t="n">
        <x:v>68.9</x:v>
      </x:c>
      <x:c r="O39" s="63" t="n">
        <x:v>1</x:v>
      </x:c>
      <x:c r="P39" s="42" t="str">
        <x:v>模拟数据/方法演示</x:v>
      </x:c>
      <x:c r="R39" t="n">
        <x:v>3</x:v>
      </x:c>
      <x:c r="S39" t="n">
        <x:v>65.8</x:v>
      </x:c>
      <x:c r="T39" t="n">
        <x:v>37.4</x:v>
      </x:c>
      <x:c r="U39" t="n">
        <x:v>68</x:v>
      </x:c>
    </x:row>
    <x:row r="40">
      <x:c r="A40" s="42" t="str">
        <x:v>淄博-demo</x:v>
      </x:c>
      <x:c r="B40" s="42" t="str">
        <x:v>淄博</x:v>
      </x:c>
      <x:c r="C40" s="42" t="str">
        <x:v>历史正例模板</x:v>
      </x:c>
      <x:c r="D40" s="63" t="n">
        <x:v>4</x:v>
      </x:c>
      <x:c r="E40" s="63" t="n">
        <x:v>82.8</x:v>
      </x:c>
      <x:c r="F40" s="63" t="n">
        <x:v>76.7</x:v>
      </x:c>
      <x:c r="G40" s="63" t="n">
        <x:v>79.5</x:v>
      </x:c>
      <x:c r="H40" s="63" t="n">
        <x:v>78</x:v>
      </x:c>
      <x:c r="I40" s="63" t="n">
        <x:v>65</x:v>
      </x:c>
      <x:c r="J40" s="63" t="n">
        <x:v>69</x:v>
      </x:c>
      <x:c r="K40" s="63" t="n">
        <x:v>82</x:v>
      </x:c>
      <x:c r="L40" s="63" t="n">
        <x:v>72.5</x:v>
      </x:c>
      <x:c r="M40" s="63" t="n">
        <x:v>40.3</x:v>
      </x:c>
      <x:c r="N40" s="63" t="n">
        <x:v>70.7</x:v>
      </x:c>
      <x:c r="O40" s="63" t="n">
        <x:v>1</x:v>
      </x:c>
      <x:c r="P40" s="42" t="str">
        <x:v>模拟数据/方法演示</x:v>
      </x:c>
      <x:c r="R40" t="n">
        <x:v>4</x:v>
      </x:c>
      <x:c r="S40" t="n">
        <x:v>68.1</x:v>
      </x:c>
      <x:c r="T40" t="n">
        <x:v>38.6</x:v>
      </x:c>
      <x:c r="U40" t="n">
        <x:v>68</x:v>
      </x:c>
    </x:row>
    <x:row r="41">
      <x:c r="A41" s="42" t="str">
        <x:v>淄博-demo</x:v>
      </x:c>
      <x:c r="B41" s="42" t="str">
        <x:v>淄博</x:v>
      </x:c>
      <x:c r="C41" s="42" t="str">
        <x:v>历史正例模板</x:v>
      </x:c>
      <x:c r="D41" s="63" t="n">
        <x:v>5</x:v>
      </x:c>
      <x:c r="E41" s="63" t="n">
        <x:v>78.6</x:v>
      </x:c>
      <x:c r="F41" s="63" t="n">
        <x:v>80.8</x:v>
      </x:c>
      <x:c r="G41" s="63" t="n">
        <x:v>80.2</x:v>
      </x:c>
      <x:c r="H41" s="63" t="n">
        <x:v>78</x:v>
      </x:c>
      <x:c r="I41" s="63" t="n">
        <x:v>65</x:v>
      </x:c>
      <x:c r="J41" s="63" t="n">
        <x:v>69</x:v>
      </x:c>
      <x:c r="K41" s="63" t="n">
        <x:v>82</x:v>
      </x:c>
      <x:c r="L41" s="63" t="n">
        <x:v>71.5</x:v>
      </x:c>
      <x:c r="M41" s="63" t="n">
        <x:v>39.6</x:v>
      </x:c>
      <x:c r="N41" s="63" t="n">
        <x:v>70.6</x:v>
      </x:c>
      <x:c r="O41" s="63" t="n">
        <x:v>1</x:v>
      </x:c>
      <x:c r="P41" s="42" t="str">
        <x:v>模拟数据/方法演示</x:v>
      </x:c>
      <x:c r="R41" t="n">
        <x:v>5</x:v>
      </x:c>
      <x:c r="S41" t="n">
        <x:v>68.3</x:v>
      </x:c>
      <x:c r="T41" t="n">
        <x:v>38.1</x:v>
      </x:c>
      <x:c r="U41" t="n">
        <x:v>68</x:v>
      </x:c>
    </x:row>
    <x:row r="42">
      <x:c r="A42" s="42" t="str">
        <x:v>淄博-demo</x:v>
      </x:c>
      <x:c r="B42" s="42" t="str">
        <x:v>淄博</x:v>
      </x:c>
      <x:c r="C42" s="42" t="str">
        <x:v>历史正例模板</x:v>
      </x:c>
      <x:c r="D42" s="63" t="n">
        <x:v>6</x:v>
      </x:c>
      <x:c r="E42" s="63" t="n">
        <x:v>76.4</x:v>
      </x:c>
      <x:c r="F42" s="63" t="n">
        <x:v>74.7</x:v>
      </x:c>
      <x:c r="G42" s="63" t="n">
        <x:v>78.1</x:v>
      </x:c>
      <x:c r="H42" s="63" t="n">
        <x:v>78</x:v>
      </x:c>
      <x:c r="I42" s="63" t="n">
        <x:v>65</x:v>
      </x:c>
      <x:c r="J42" s="63" t="n">
        <x:v>69</x:v>
      </x:c>
      <x:c r="K42" s="63" t="n">
        <x:v>82</x:v>
      </x:c>
      <x:c r="L42" s="63" t="n">
        <x:v>77.4</x:v>
      </x:c>
      <x:c r="M42" s="63" t="n">
        <x:v>41.2</x:v>
      </x:c>
      <x:c r="N42" s="63" t="n">
        <x:v>69.1</x:v>
      </x:c>
      <x:c r="O42" s="63" t="n">
        <x:v>1</x:v>
      </x:c>
      <x:c r="P42" s="42" t="str">
        <x:v>模拟数据/方法演示</x:v>
      </x:c>
      <x:c r="R42" t="n">
        <x:v>6</x:v>
      </x:c>
      <x:c r="S42" t="n">
        <x:v>68.2</x:v>
      </x:c>
      <x:c r="T42" t="n">
        <x:v>37.9</x:v>
      </x:c>
      <x:c r="U42" t="n">
        <x:v>68</x:v>
      </x:c>
    </x:row>
    <x:row r="43">
      <x:c r="A43" s="42" t="str">
        <x:v>淄博-demo</x:v>
      </x:c>
      <x:c r="B43" s="42" t="str">
        <x:v>淄博</x:v>
      </x:c>
      <x:c r="C43" s="42" t="str">
        <x:v>历史正例模板</x:v>
      </x:c>
      <x:c r="D43" s="63" t="n">
        <x:v>7</x:v>
      </x:c>
      <x:c r="E43" s="63" t="n">
        <x:v>77.9</x:v>
      </x:c>
      <x:c r="F43" s="63" t="n">
        <x:v>72.8</x:v>
      </x:c>
      <x:c r="G43" s="63" t="n">
        <x:v>78.6</x:v>
      </x:c>
      <x:c r="H43" s="63" t="n">
        <x:v>78</x:v>
      </x:c>
      <x:c r="I43" s="63" t="n">
        <x:v>65</x:v>
      </x:c>
      <x:c r="J43" s="63" t="n">
        <x:v>69</x:v>
      </x:c>
      <x:c r="K43" s="63" t="n">
        <x:v>82</x:v>
      </x:c>
      <x:c r="L43" s="63" t="n">
        <x:v>78.4</x:v>
      </x:c>
      <x:c r="M43" s="63" t="n">
        <x:v>44.1</x:v>
      </x:c>
      <x:c r="N43" s="63" t="n">
        <x:v>68.8</x:v>
      </x:c>
      <x:c r="O43" s="63" t="n">
        <x:v>1</x:v>
      </x:c>
      <x:c r="P43" s="42" t="str">
        <x:v>模拟数据/方法演示</x:v>
      </x:c>
      <x:c r="R43" t="n">
        <x:v>7</x:v>
      </x:c>
      <x:c r="S43" t="n">
        <x:v>68.1</x:v>
      </x:c>
      <x:c r="T43" t="n">
        <x:v>36.5</x:v>
      </x:c>
      <x:c r="U43" t="n">
        <x:v>68</x:v>
      </x:c>
    </x:row>
    <x:row r="44">
      <x:c r="A44" s="42" t="str">
        <x:v>淄博-demo</x:v>
      </x:c>
      <x:c r="B44" s="42" t="str">
        <x:v>淄博</x:v>
      </x:c>
      <x:c r="C44" s="42" t="str">
        <x:v>历史正例模板</x:v>
      </x:c>
      <x:c r="D44" s="63" t="n">
        <x:v>8</x:v>
      </x:c>
      <x:c r="E44" s="63" t="n">
        <x:v>80.9</x:v>
      </x:c>
      <x:c r="F44" s="63" t="n">
        <x:v>76.3</x:v>
      </x:c>
      <x:c r="G44" s="63" t="n">
        <x:v>79.7</x:v>
      </x:c>
      <x:c r="H44" s="63" t="n">
        <x:v>78</x:v>
      </x:c>
      <x:c r="I44" s="63" t="n">
        <x:v>65</x:v>
      </x:c>
      <x:c r="J44" s="63" t="n">
        <x:v>69</x:v>
      </x:c>
      <x:c r="K44" s="63" t="n">
        <x:v>82</x:v>
      </x:c>
      <x:c r="L44" s="63" t="n">
        <x:v>76.7</x:v>
      </x:c>
      <x:c r="M44" s="63" t="n">
        <x:v>43</x:v>
      </x:c>
      <x:c r="N44" s="63" t="n">
        <x:v>70.3</x:v>
      </x:c>
      <x:c r="O44" s="63" t="n">
        <x:v>1</x:v>
      </x:c>
      <x:c r="P44" s="42" t="str">
        <x:v>模拟数据/方法演示</x:v>
      </x:c>
      <x:c r="R44" t="n">
        <x:v>8</x:v>
      </x:c>
      <x:c r="S44" t="n">
        <x:v>67.1</x:v>
      </x:c>
      <x:c r="T44" t="n">
        <x:v>36.8</x:v>
      </x:c>
      <x:c r="U44" t="n">
        <x:v>68</x:v>
      </x:c>
    </x:row>
    <x:row r="45">
      <x:c r="A45" s="42" t="str">
        <x:v>淄博-demo</x:v>
      </x:c>
      <x:c r="B45" s="42" t="str">
        <x:v>淄博</x:v>
      </x:c>
      <x:c r="C45" s="42" t="str">
        <x:v>历史正例模板</x:v>
      </x:c>
      <x:c r="D45" s="63" t="n">
        <x:v>9</x:v>
      </x:c>
      <x:c r="E45" s="63" t="n">
        <x:v>81.2</x:v>
      </x:c>
      <x:c r="F45" s="63" t="n">
        <x:v>75.2</x:v>
      </x:c>
      <x:c r="G45" s="63" t="n">
        <x:v>80.6</x:v>
      </x:c>
      <x:c r="H45" s="63" t="n">
        <x:v>78</x:v>
      </x:c>
      <x:c r="I45" s="63" t="n">
        <x:v>65</x:v>
      </x:c>
      <x:c r="J45" s="63" t="n">
        <x:v>69</x:v>
      </x:c>
      <x:c r="K45" s="63" t="n">
        <x:v>82</x:v>
      </x:c>
      <x:c r="L45" s="63" t="n">
        <x:v>73.5</x:v>
      </x:c>
      <x:c r="M45" s="63" t="n">
        <x:v>41.4</x:v>
      </x:c>
      <x:c r="N45" s="63" t="n">
        <x:v>70.2</x:v>
      </x:c>
      <x:c r="O45" s="63" t="n">
        <x:v>1</x:v>
      </x:c>
      <x:c r="P45" s="42" t="str">
        <x:v>模拟数据/方法演示</x:v>
      </x:c>
      <x:c r="R45" t="n">
        <x:v>9</x:v>
      </x:c>
      <x:c r="S45" t="n">
        <x:v>67.8</x:v>
      </x:c>
      <x:c r="T45" t="n">
        <x:v>36.6</x:v>
      </x:c>
      <x:c r="U45" t="n">
        <x:v>68</x:v>
      </x:c>
    </x:row>
    <x:row r="46">
      <x:c r="A46" s="42" t="str">
        <x:v>淄博-demo</x:v>
      </x:c>
      <x:c r="B46" s="42" t="str">
        <x:v>淄博</x:v>
      </x:c>
      <x:c r="C46" s="42" t="str">
        <x:v>历史正例模板</x:v>
      </x:c>
      <x:c r="D46" s="63" t="n">
        <x:v>10</x:v>
      </x:c>
      <x:c r="E46" s="63" t="n">
        <x:v>78.4</x:v>
      </x:c>
      <x:c r="F46" s="63" t="n">
        <x:v>78.2</x:v>
      </x:c>
      <x:c r="G46" s="63" t="n">
        <x:v>80.6</x:v>
      </x:c>
      <x:c r="H46" s="63" t="n">
        <x:v>78</x:v>
      </x:c>
      <x:c r="I46" s="63" t="n">
        <x:v>65</x:v>
      </x:c>
      <x:c r="J46" s="63" t="n">
        <x:v>69</x:v>
      </x:c>
      <x:c r="K46" s="63" t="n">
        <x:v>82</x:v>
      </x:c>
      <x:c r="L46" s="63" t="n">
        <x:v>71.9</x:v>
      </x:c>
      <x:c r="M46" s="63" t="n">
        <x:v>42</x:v>
      </x:c>
      <x:c r="N46" s="63" t="n">
        <x:v>69.8</x:v>
      </x:c>
      <x:c r="O46" s="63" t="n">
        <x:v>1</x:v>
      </x:c>
      <x:c r="P46" s="42" t="str">
        <x:v>模拟数据/方法演示</x:v>
      </x:c>
      <x:c r="R46" t="n">
        <x:v>10</x:v>
      </x:c>
      <x:c r="S46" t="n">
        <x:v>68.1</x:v>
      </x:c>
      <x:c r="T46" t="n">
        <x:v>36.4</x:v>
      </x:c>
      <x:c r="U46" t="n">
        <x:v>68</x:v>
      </x:c>
    </x:row>
    <x:row r="47">
      <x:c r="A47" s="42" t="str">
        <x:v>天水-demo</x:v>
      </x:c>
      <x:c r="B47" s="42" t="str">
        <x:v>天水</x:v>
      </x:c>
      <x:c r="C47" s="42" t="str">
        <x:v>历史正例模板</x:v>
      </x:c>
      <x:c r="D47" s="63" t="n">
        <x:v>-30</x:v>
      </x:c>
      <x:c r="E47" s="63" t="n">
        <x:v>16.6</x:v>
      </x:c>
      <x:c r="F47" s="63" t="n">
        <x:v>13.4</x:v>
      </x:c>
      <x:c r="G47" s="63" t="n">
        <x:v>29.6</x:v>
      </x:c>
      <x:c r="H47" s="63" t="n">
        <x:v>61</x:v>
      </x:c>
      <x:c r="I47" s="63" t="n">
        <x:v>56</x:v>
      </x:c>
      <x:c r="J47" s="63" t="n">
        <x:v>73</x:v>
      </x:c>
      <x:c r="K47" s="63" t="n">
        <x:v>90</x:v>
      </x:c>
      <x:c r="L47" s="63" t="n">
        <x:v>17.7</x:v>
      </x:c>
      <x:c r="M47" s="63" t="n">
        <x:v>17.6</x:v>
      </x:c>
      <x:c r="N47" s="63" t="n">
        <x:v>34.7</x:v>
      </x:c>
      <x:c r="O47" s="63" t="n">
        <x:v>1</x:v>
      </x:c>
      <x:c r="P47" s="42" t="str">
        <x:v>模拟数据/方法演示</x:v>
      </x:c>
    </x:row>
    <x:row r="48">
      <x:c r="A48" s="42" t="str">
        <x:v>天水-demo</x:v>
      </x:c>
      <x:c r="B48" s="42" t="str">
        <x:v>天水</x:v>
      </x:c>
      <x:c r="C48" s="42" t="str">
        <x:v>历史正例模板</x:v>
      </x:c>
      <x:c r="D48" s="63" t="n">
        <x:v>-29</x:v>
      </x:c>
      <x:c r="E48" s="63" t="n">
        <x:v>18.3</x:v>
      </x:c>
      <x:c r="F48" s="63" t="n">
        <x:v>17.5</x:v>
      </x:c>
      <x:c r="G48" s="63" t="n">
        <x:v>26.2</x:v>
      </x:c>
      <x:c r="H48" s="63" t="n">
        <x:v>61</x:v>
      </x:c>
      <x:c r="I48" s="63" t="n">
        <x:v>56</x:v>
      </x:c>
      <x:c r="J48" s="63" t="n">
        <x:v>73</x:v>
      </x:c>
      <x:c r="K48" s="63" t="n">
        <x:v>90</x:v>
      </x:c>
      <x:c r="L48" s="63" t="n">
        <x:v>16.8</x:v>
      </x:c>
      <x:c r="M48" s="63" t="n">
        <x:v>16.4</x:v>
      </x:c>
      <x:c r="N48" s="63" t="n">
        <x:v>35.5</x:v>
      </x:c>
      <x:c r="O48" s="63" t="n">
        <x:v>1</x:v>
      </x:c>
      <x:c r="P48" s="42" t="str">
        <x:v>模拟数据/方法演示</x:v>
      </x:c>
    </x:row>
    <x:row r="49">
      <x:c r="A49" s="42" t="str">
        <x:v>天水-demo</x:v>
      </x:c>
      <x:c r="B49" s="42" t="str">
        <x:v>天水</x:v>
      </x:c>
      <x:c r="C49" s="42" t="str">
        <x:v>历史正例模板</x:v>
      </x:c>
      <x:c r="D49" s="63" t="n">
        <x:v>-28</x:v>
      </x:c>
      <x:c r="E49" s="63" t="n">
        <x:v>18.3</x:v>
      </x:c>
      <x:c r="F49" s="63" t="n">
        <x:v>14.9</x:v>
      </x:c>
      <x:c r="G49" s="63" t="n">
        <x:v>26.2</x:v>
      </x:c>
      <x:c r="H49" s="63" t="n">
        <x:v>61</x:v>
      </x:c>
      <x:c r="I49" s="63" t="n">
        <x:v>56</x:v>
      </x:c>
      <x:c r="J49" s="63" t="n">
        <x:v>73</x:v>
      </x:c>
      <x:c r="K49" s="63" t="n">
        <x:v>90</x:v>
      </x:c>
      <x:c r="L49" s="63" t="n">
        <x:v>21.2</x:v>
      </x:c>
      <x:c r="M49" s="63" t="n">
        <x:v>19</x:v>
      </x:c>
      <x:c r="N49" s="63" t="n">
        <x:v>35.1</x:v>
      </x:c>
      <x:c r="O49" s="63" t="n">
        <x:v>1</x:v>
      </x:c>
      <x:c r="P49" s="42" t="str">
        <x:v>模拟数据/方法演示</x:v>
      </x:c>
    </x:row>
    <x:row r="50">
      <x:c r="A50" s="42" t="str">
        <x:v>天水-demo</x:v>
      </x:c>
      <x:c r="B50" s="42" t="str">
        <x:v>天水</x:v>
      </x:c>
      <x:c r="C50" s="42" t="str">
        <x:v>历史正例模板</x:v>
      </x:c>
      <x:c r="D50" s="63" t="n">
        <x:v>-27</x:v>
      </x:c>
      <x:c r="E50" s="63" t="n">
        <x:v>14.5</x:v>
      </x:c>
      <x:c r="F50" s="63" t="n">
        <x:v>18</x:v>
      </x:c>
      <x:c r="G50" s="63" t="n">
        <x:v>32.1</x:v>
      </x:c>
      <x:c r="H50" s="63" t="n">
        <x:v>61</x:v>
      </x:c>
      <x:c r="I50" s="63" t="n">
        <x:v>56</x:v>
      </x:c>
      <x:c r="J50" s="63" t="n">
        <x:v>73</x:v>
      </x:c>
      <x:c r="K50" s="63" t="n">
        <x:v>90</x:v>
      </x:c>
      <x:c r="L50" s="63" t="n">
        <x:v>17.8</x:v>
      </x:c>
      <x:c r="M50" s="63" t="n">
        <x:v>16</x:v>
      </x:c>
      <x:c r="N50" s="63" t="n">
        <x:v>35.6</x:v>
      </x:c>
      <x:c r="O50" s="63" t="n">
        <x:v>1</x:v>
      </x:c>
      <x:c r="P50" s="42" t="str">
        <x:v>模拟数据/方法演示</x:v>
      </x:c>
    </x:row>
    <x:row r="51">
      <x:c r="A51" s="42" t="str">
        <x:v>天水-demo</x:v>
      </x:c>
      <x:c r="B51" s="42" t="str">
        <x:v>天水</x:v>
      </x:c>
      <x:c r="C51" s="42" t="str">
        <x:v>历史正例模板</x:v>
      </x:c>
      <x:c r="D51" s="63" t="n">
        <x:v>-26</x:v>
      </x:c>
      <x:c r="E51" s="63" t="n">
        <x:v>18.4</x:v>
      </x:c>
      <x:c r="F51" s="63" t="n">
        <x:v>15</x:v>
      </x:c>
      <x:c r="G51" s="63" t="n">
        <x:v>25.5</x:v>
      </x:c>
      <x:c r="H51" s="63" t="n">
        <x:v>61</x:v>
      </x:c>
      <x:c r="I51" s="63" t="n">
        <x:v>56</x:v>
      </x:c>
      <x:c r="J51" s="63" t="n">
        <x:v>73</x:v>
      </x:c>
      <x:c r="K51" s="63" t="n">
        <x:v>90</x:v>
      </x:c>
      <x:c r="L51" s="63" t="n">
        <x:v>22.4</x:v>
      </x:c>
      <x:c r="M51" s="63" t="n">
        <x:v>18</x:v>
      </x:c>
      <x:c r="N51" s="63" t="n">
        <x:v>35.3</x:v>
      </x:c>
      <x:c r="O51" s="63" t="n">
        <x:v>1</x:v>
      </x:c>
      <x:c r="P51" s="42" t="str">
        <x:v>模拟数据/方法演示</x:v>
      </x:c>
    </x:row>
    <x:row r="52">
      <x:c r="A52" s="42" t="str">
        <x:v>天水-demo</x:v>
      </x:c>
      <x:c r="B52" s="42" t="str">
        <x:v>天水</x:v>
      </x:c>
      <x:c r="C52" s="42" t="str">
        <x:v>历史正例模板</x:v>
      </x:c>
      <x:c r="D52" s="63" t="n">
        <x:v>-25</x:v>
      </x:c>
      <x:c r="E52" s="63" t="n">
        <x:v>19.8</x:v>
      </x:c>
      <x:c r="F52" s="63" t="n">
        <x:v>16.2</x:v>
      </x:c>
      <x:c r="G52" s="63" t="n">
        <x:v>25.4</x:v>
      </x:c>
      <x:c r="H52" s="63" t="n">
        <x:v>61</x:v>
      </x:c>
      <x:c r="I52" s="63" t="n">
        <x:v>56</x:v>
      </x:c>
      <x:c r="J52" s="63" t="n">
        <x:v>73</x:v>
      </x:c>
      <x:c r="K52" s="63" t="n">
        <x:v>90</x:v>
      </x:c>
      <x:c r="L52" s="63" t="n">
        <x:v>21.7</x:v>
      </x:c>
      <x:c r="M52" s="63" t="n">
        <x:v>16</x:v>
      </x:c>
      <x:c r="N52" s="63" t="n">
        <x:v>36.1</x:v>
      </x:c>
      <x:c r="O52" s="63" t="n">
        <x:v>1</x:v>
      </x:c>
      <x:c r="P52" s="42" t="str">
        <x:v>模拟数据/方法演示</x:v>
      </x:c>
    </x:row>
    <x:row r="53">
      <x:c r="A53" s="42" t="str">
        <x:v>天水-demo</x:v>
      </x:c>
      <x:c r="B53" s="42" t="str">
        <x:v>天水</x:v>
      </x:c>
      <x:c r="C53" s="42" t="str">
        <x:v>历史正例模板</x:v>
      </x:c>
      <x:c r="D53" s="63" t="n">
        <x:v>-24</x:v>
      </x:c>
      <x:c r="E53" s="63" t="n">
        <x:v>19.7</x:v>
      </x:c>
      <x:c r="F53" s="63" t="n">
        <x:v>17</x:v>
      </x:c>
      <x:c r="G53" s="63" t="n">
        <x:v>27.7</x:v>
      </x:c>
      <x:c r="H53" s="63" t="n">
        <x:v>61</x:v>
      </x:c>
      <x:c r="I53" s="63" t="n">
        <x:v>56</x:v>
      </x:c>
      <x:c r="J53" s="63" t="n">
        <x:v>73</x:v>
      </x:c>
      <x:c r="K53" s="63" t="n">
        <x:v>90</x:v>
      </x:c>
      <x:c r="L53" s="63" t="n">
        <x:v>20.5</x:v>
      </x:c>
      <x:c r="M53" s="63" t="n">
        <x:v>22.3</x:v>
      </x:c>
      <x:c r="N53" s="63" t="n">
        <x:v>35.4</x:v>
      </x:c>
      <x:c r="O53" s="63" t="n">
        <x:v>1</x:v>
      </x:c>
      <x:c r="P53" s="42" t="str">
        <x:v>模拟数据/方法演示</x:v>
      </x:c>
    </x:row>
    <x:row r="54">
      <x:c r="A54" s="42" t="str">
        <x:v>天水-demo</x:v>
      </x:c>
      <x:c r="B54" s="42" t="str">
        <x:v>天水</x:v>
      </x:c>
      <x:c r="C54" s="42" t="str">
        <x:v>历史正例模板</x:v>
      </x:c>
      <x:c r="D54" s="63" t="n">
        <x:v>-23</x:v>
      </x:c>
      <x:c r="E54" s="63" t="n">
        <x:v>21.9</x:v>
      </x:c>
      <x:c r="F54" s="63" t="n">
        <x:v>17.4</x:v>
      </x:c>
      <x:c r="G54" s="63" t="n">
        <x:v>31</x:v>
      </x:c>
      <x:c r="H54" s="63" t="n">
        <x:v>61</x:v>
      </x:c>
      <x:c r="I54" s="63" t="n">
        <x:v>56</x:v>
      </x:c>
      <x:c r="J54" s="63" t="n">
        <x:v>73</x:v>
      </x:c>
      <x:c r="K54" s="63" t="n">
        <x:v>90</x:v>
      </x:c>
      <x:c r="L54" s="63" t="n">
        <x:v>23</x:v>
      </x:c>
      <x:c r="M54" s="63" t="n">
        <x:v>18.2</x:v>
      </x:c>
      <x:c r="N54" s="63" t="n">
        <x:v>37.2</x:v>
      </x:c>
      <x:c r="O54" s="63" t="n">
        <x:v>1</x:v>
      </x:c>
      <x:c r="P54" s="42" t="str">
        <x:v>模拟数据/方法演示</x:v>
      </x:c>
    </x:row>
    <x:row r="55">
      <x:c r="A55" s="42" t="str">
        <x:v>天水-demo</x:v>
      </x:c>
      <x:c r="B55" s="42" t="str">
        <x:v>天水</x:v>
      </x:c>
      <x:c r="C55" s="42" t="str">
        <x:v>历史正例模板</x:v>
      </x:c>
      <x:c r="D55" s="63" t="n">
        <x:v>-22</x:v>
      </x:c>
      <x:c r="E55" s="63" t="n">
        <x:v>18</x:v>
      </x:c>
      <x:c r="F55" s="63" t="n">
        <x:v>12.9</x:v>
      </x:c>
      <x:c r="G55" s="63" t="n">
        <x:v>29.8</x:v>
      </x:c>
      <x:c r="H55" s="63" t="n">
        <x:v>61</x:v>
      </x:c>
      <x:c r="I55" s="63" t="n">
        <x:v>56</x:v>
      </x:c>
      <x:c r="J55" s="63" t="n">
        <x:v>73</x:v>
      </x:c>
      <x:c r="K55" s="63" t="n">
        <x:v>90</x:v>
      </x:c>
      <x:c r="L55" s="63" t="n">
        <x:v>21.3</x:v>
      </x:c>
      <x:c r="M55" s="63" t="n">
        <x:v>21.7</x:v>
      </x:c>
      <x:c r="N55" s="63" t="n">
        <x:v>34.7</x:v>
      </x:c>
      <x:c r="O55" s="63" t="n">
        <x:v>1</x:v>
      </x:c>
      <x:c r="P55" s="42" t="str">
        <x:v>模拟数据/方法演示</x:v>
      </x:c>
    </x:row>
    <x:row r="56">
      <x:c r="A56" s="42" t="str">
        <x:v>天水-demo</x:v>
      </x:c>
      <x:c r="B56" s="42" t="str">
        <x:v>天水</x:v>
      </x:c>
      <x:c r="C56" s="42" t="str">
        <x:v>历史正例模板</x:v>
      </x:c>
      <x:c r="D56" s="63" t="n">
        <x:v>-21</x:v>
      </x:c>
      <x:c r="E56" s="63" t="n">
        <x:v>18.3</x:v>
      </x:c>
      <x:c r="F56" s="63" t="n">
        <x:v>18.2</x:v>
      </x:c>
      <x:c r="G56" s="63" t="n">
        <x:v>28.3</x:v>
      </x:c>
      <x:c r="H56" s="63" t="n">
        <x:v>61</x:v>
      </x:c>
      <x:c r="I56" s="63" t="n">
        <x:v>56</x:v>
      </x:c>
      <x:c r="J56" s="63" t="n">
        <x:v>73</x:v>
      </x:c>
      <x:c r="K56" s="63" t="n">
        <x:v>90</x:v>
      </x:c>
      <x:c r="L56" s="63" t="n">
        <x:v>19.3</x:v>
      </x:c>
      <x:c r="M56" s="63" t="n">
        <x:v>17</x:v>
      </x:c>
      <x:c r="N56" s="63" t="n">
        <x:v>36</x:v>
      </x:c>
      <x:c r="O56" s="63" t="n">
        <x:v>1</x:v>
      </x:c>
      <x:c r="P56" s="42" t="str">
        <x:v>模拟数据/方法演示</x:v>
      </x:c>
    </x:row>
    <x:row r="57">
      <x:c r="A57" s="42" t="str">
        <x:v>天水-demo</x:v>
      </x:c>
      <x:c r="B57" s="42" t="str">
        <x:v>天水</x:v>
      </x:c>
      <x:c r="C57" s="42" t="str">
        <x:v>历史正例模板</x:v>
      </x:c>
      <x:c r="D57" s="63" t="n">
        <x:v>-20</x:v>
      </x:c>
      <x:c r="E57" s="63" t="n">
        <x:v>23.8</x:v>
      </x:c>
      <x:c r="F57" s="63" t="n">
        <x:v>14.7</x:v>
      </x:c>
      <x:c r="G57" s="63" t="n">
        <x:v>26.8</x:v>
      </x:c>
      <x:c r="H57" s="63" t="n">
        <x:v>61</x:v>
      </x:c>
      <x:c r="I57" s="63" t="n">
        <x:v>56</x:v>
      </x:c>
      <x:c r="J57" s="63" t="n">
        <x:v>73</x:v>
      </x:c>
      <x:c r="K57" s="63" t="n">
        <x:v>90</x:v>
      </x:c>
      <x:c r="L57" s="63" t="n">
        <x:v>24.4</x:v>
      </x:c>
      <x:c r="M57" s="63" t="n">
        <x:v>17.7</x:v>
      </x:c>
      <x:c r="N57" s="63" t="n">
        <x:v>36.8</x:v>
      </x:c>
      <x:c r="O57" s="63" t="n">
        <x:v>1</x:v>
      </x:c>
      <x:c r="P57" s="42" t="str">
        <x:v>模拟数据/方法演示</x:v>
      </x:c>
    </x:row>
    <x:row r="58">
      <x:c r="A58" s="42" t="str">
        <x:v>天水-demo</x:v>
      </x:c>
      <x:c r="B58" s="42" t="str">
        <x:v>天水</x:v>
      </x:c>
      <x:c r="C58" s="42" t="str">
        <x:v>历史正例模板</x:v>
      </x:c>
      <x:c r="D58" s="63" t="n">
        <x:v>-19</x:v>
      </x:c>
      <x:c r="E58" s="63" t="n">
        <x:v>23</x:v>
      </x:c>
      <x:c r="F58" s="63" t="n">
        <x:v>22.5</x:v>
      </x:c>
      <x:c r="G58" s="63" t="n">
        <x:v>28.6</x:v>
      </x:c>
      <x:c r="H58" s="63" t="n">
        <x:v>61</x:v>
      </x:c>
      <x:c r="I58" s="63" t="n">
        <x:v>56</x:v>
      </x:c>
      <x:c r="J58" s="63" t="n">
        <x:v>73</x:v>
      </x:c>
      <x:c r="K58" s="63" t="n">
        <x:v>90</x:v>
      </x:c>
      <x:c r="L58" s="63" t="n">
        <x:v>22.5</x:v>
      </x:c>
      <x:c r="M58" s="63" t="n">
        <x:v>17.9</x:v>
      </x:c>
      <x:c r="N58" s="63" t="n">
        <x:v>38.1</x:v>
      </x:c>
      <x:c r="O58" s="63" t="n">
        <x:v>1</x:v>
      </x:c>
      <x:c r="P58" s="42" t="str">
        <x:v>模拟数据/方法演示</x:v>
      </x:c>
    </x:row>
    <x:row r="59">
      <x:c r="A59" s="42" t="str">
        <x:v>天水-demo</x:v>
      </x:c>
      <x:c r="B59" s="42" t="str">
        <x:v>天水</x:v>
      </x:c>
      <x:c r="C59" s="42" t="str">
        <x:v>历史正例模板</x:v>
      </x:c>
      <x:c r="D59" s="63" t="n">
        <x:v>-18</x:v>
      </x:c>
      <x:c r="E59" s="63" t="n">
        <x:v>23.2</x:v>
      </x:c>
      <x:c r="F59" s="63" t="n">
        <x:v>19.1</x:v>
      </x:c>
      <x:c r="G59" s="63" t="n">
        <x:v>23.3</x:v>
      </x:c>
      <x:c r="H59" s="63" t="n">
        <x:v>61</x:v>
      </x:c>
      <x:c r="I59" s="63" t="n">
        <x:v>56</x:v>
      </x:c>
      <x:c r="J59" s="63" t="n">
        <x:v>73</x:v>
      </x:c>
      <x:c r="K59" s="63" t="n">
        <x:v>90</x:v>
      </x:c>
      <x:c r="L59" s="63" t="n">
        <x:v>23.9</x:v>
      </x:c>
      <x:c r="M59" s="63" t="n">
        <x:v>18.2</x:v>
      </x:c>
      <x:c r="N59" s="63" t="n">
        <x:v>37</x:v>
      </x:c>
      <x:c r="O59" s="63" t="n">
        <x:v>1</x:v>
      </x:c>
      <x:c r="P59" s="42" t="str">
        <x:v>模拟数据/方法演示</x:v>
      </x:c>
    </x:row>
    <x:row r="60">
      <x:c r="A60" s="42" t="str">
        <x:v>天水-demo</x:v>
      </x:c>
      <x:c r="B60" s="42" t="str">
        <x:v>天水</x:v>
      </x:c>
      <x:c r="C60" s="42" t="str">
        <x:v>历史正例模板</x:v>
      </x:c>
      <x:c r="D60" s="63" t="n">
        <x:v>-17</x:v>
      </x:c>
      <x:c r="E60" s="63" t="n">
        <x:v>25.7</x:v>
      </x:c>
      <x:c r="F60" s="63" t="n">
        <x:v>19.8</x:v>
      </x:c>
      <x:c r="G60" s="63" t="n">
        <x:v>27.8</x:v>
      </x:c>
      <x:c r="H60" s="63" t="n">
        <x:v>61</x:v>
      </x:c>
      <x:c r="I60" s="63" t="n">
        <x:v>56</x:v>
      </x:c>
      <x:c r="J60" s="63" t="n">
        <x:v>73</x:v>
      </x:c>
      <x:c r="K60" s="63" t="n">
        <x:v>90</x:v>
      </x:c>
      <x:c r="L60" s="63" t="n">
        <x:v>19.6</x:v>
      </x:c>
      <x:c r="M60" s="63" t="n">
        <x:v>19.7</x:v>
      </x:c>
      <x:c r="N60" s="63" t="n">
        <x:v>37.5</x:v>
      </x:c>
      <x:c r="O60" s="63" t="n">
        <x:v>1</x:v>
      </x:c>
      <x:c r="P60" s="42" t="str">
        <x:v>模拟数据/方法演示</x:v>
      </x:c>
    </x:row>
    <x:row r="61">
      <x:c r="A61" s="42" t="str">
        <x:v>天水-demo</x:v>
      </x:c>
      <x:c r="B61" s="42" t="str">
        <x:v>天水</x:v>
      </x:c>
      <x:c r="C61" s="42" t="str">
        <x:v>历史正例模板</x:v>
      </x:c>
      <x:c r="D61" s="63" t="n">
        <x:v>-16</x:v>
      </x:c>
      <x:c r="E61" s="63" t="n">
        <x:v>28.1</x:v>
      </x:c>
      <x:c r="F61" s="63" t="n">
        <x:v>23.8</x:v>
      </x:c>
      <x:c r="G61" s="63" t="n">
        <x:v>27.8</x:v>
      </x:c>
      <x:c r="H61" s="63" t="n">
        <x:v>61</x:v>
      </x:c>
      <x:c r="I61" s="63" t="n">
        <x:v>56</x:v>
      </x:c>
      <x:c r="J61" s="63" t="n">
        <x:v>73</x:v>
      </x:c>
      <x:c r="K61" s="63" t="n">
        <x:v>90</x:v>
      </x:c>
      <x:c r="L61" s="63" t="n">
        <x:v>24.6</x:v>
      </x:c>
      <x:c r="M61" s="63" t="n">
        <x:v>18.8</x:v>
      </x:c>
      <x:c r="N61" s="63" t="n">
        <x:v>39.4</x:v>
      </x:c>
      <x:c r="O61" s="63" t="n">
        <x:v>1</x:v>
      </x:c>
      <x:c r="P61" s="42" t="str">
        <x:v>模拟数据/方法演示</x:v>
      </x:c>
    </x:row>
    <x:row r="62">
      <x:c r="A62" s="42" t="str">
        <x:v>天水-demo</x:v>
      </x:c>
      <x:c r="B62" s="42" t="str">
        <x:v>天水</x:v>
      </x:c>
      <x:c r="C62" s="42" t="str">
        <x:v>历史正例模板</x:v>
      </x:c>
      <x:c r="D62" s="63" t="n">
        <x:v>-15</x:v>
      </x:c>
      <x:c r="E62" s="63" t="n">
        <x:v>29.8</x:v>
      </x:c>
      <x:c r="F62" s="63" t="n">
        <x:v>28.3</x:v>
      </x:c>
      <x:c r="G62" s="63" t="n">
        <x:v>26.8</x:v>
      </x:c>
      <x:c r="H62" s="63" t="n">
        <x:v>61</x:v>
      </x:c>
      <x:c r="I62" s="63" t="n">
        <x:v>56</x:v>
      </x:c>
      <x:c r="J62" s="63" t="n">
        <x:v>73</x:v>
      </x:c>
      <x:c r="K62" s="63" t="n">
        <x:v>90</x:v>
      </x:c>
      <x:c r="L62" s="63" t="n">
        <x:v>22.8</x:v>
      </x:c>
      <x:c r="M62" s="63" t="n">
        <x:v>16.6</x:v>
      </x:c>
      <x:c r="N62" s="63" t="n">
        <x:v>40.6</x:v>
      </x:c>
      <x:c r="O62" s="63" t="n">
        <x:v>1</x:v>
      </x:c>
      <x:c r="P62" s="42" t="str">
        <x:v>模拟数据/方法演示</x:v>
      </x:c>
    </x:row>
    <x:row r="63">
      <x:c r="A63" s="42" t="str">
        <x:v>天水-demo</x:v>
      </x:c>
      <x:c r="B63" s="42" t="str">
        <x:v>天水</x:v>
      </x:c>
      <x:c r="C63" s="42" t="str">
        <x:v>历史正例模板</x:v>
      </x:c>
      <x:c r="D63" s="63" t="n">
        <x:v>-14</x:v>
      </x:c>
      <x:c r="E63" s="63" t="n">
        <x:v>31.1</x:v>
      </x:c>
      <x:c r="F63" s="63" t="n">
        <x:v>24.2</x:v>
      </x:c>
      <x:c r="G63" s="63" t="n">
        <x:v>31</x:v>
      </x:c>
      <x:c r="H63" s="63" t="n">
        <x:v>61</x:v>
      </x:c>
      <x:c r="I63" s="63" t="n">
        <x:v>56</x:v>
      </x:c>
      <x:c r="J63" s="63" t="n">
        <x:v>73</x:v>
      </x:c>
      <x:c r="K63" s="63" t="n">
        <x:v>90</x:v>
      </x:c>
      <x:c r="L63" s="63" t="n">
        <x:v>29.4</x:v>
      </x:c>
      <x:c r="M63" s="63" t="n">
        <x:v>17</x:v>
      </x:c>
      <x:c r="N63" s="63" t="n">
        <x:v>41.3</x:v>
      </x:c>
      <x:c r="O63" s="63" t="n">
        <x:v>1</x:v>
      </x:c>
      <x:c r="P63" s="42" t="str">
        <x:v>模拟数据/方法演示</x:v>
      </x:c>
    </x:row>
    <x:row r="64">
      <x:c r="A64" s="42" t="str">
        <x:v>天水-demo</x:v>
      </x:c>
      <x:c r="B64" s="42" t="str">
        <x:v>天水</x:v>
      </x:c>
      <x:c r="C64" s="42" t="str">
        <x:v>历史正例模板</x:v>
      </x:c>
      <x:c r="D64" s="63" t="n">
        <x:v>-13</x:v>
      </x:c>
      <x:c r="E64" s="63" t="n">
        <x:v>37.6</x:v>
      </x:c>
      <x:c r="F64" s="63" t="n">
        <x:v>28.9</x:v>
      </x:c>
      <x:c r="G64" s="63" t="n">
        <x:v>30.6</x:v>
      </x:c>
      <x:c r="H64" s="63" t="n">
        <x:v>61</x:v>
      </x:c>
      <x:c r="I64" s="63" t="n">
        <x:v>56</x:v>
      </x:c>
      <x:c r="J64" s="63" t="n">
        <x:v>73</x:v>
      </x:c>
      <x:c r="K64" s="63" t="n">
        <x:v>90</x:v>
      </x:c>
      <x:c r="L64" s="63" t="n">
        <x:v>27.9</x:v>
      </x:c>
      <x:c r="M64" s="63" t="n">
        <x:v>18.3</x:v>
      </x:c>
      <x:c r="N64" s="63" t="n">
        <x:v>43.2</x:v>
      </x:c>
      <x:c r="O64" s="63" t="n">
        <x:v>1</x:v>
      </x:c>
      <x:c r="P64" s="42" t="str">
        <x:v>模拟数据/方法演示</x:v>
      </x:c>
    </x:row>
    <x:row r="65">
      <x:c r="A65" s="42" t="str">
        <x:v>天水-demo</x:v>
      </x:c>
      <x:c r="B65" s="42" t="str">
        <x:v>天水</x:v>
      </x:c>
      <x:c r="C65" s="42" t="str">
        <x:v>历史正例模板</x:v>
      </x:c>
      <x:c r="D65" s="63" t="n">
        <x:v>-12</x:v>
      </x:c>
      <x:c r="E65" s="63" t="n">
        <x:v>40.8</x:v>
      </x:c>
      <x:c r="F65" s="63" t="n">
        <x:v>27</x:v>
      </x:c>
      <x:c r="G65" s="63" t="n">
        <x:v>26.6</x:v>
      </x:c>
      <x:c r="H65" s="63" t="n">
        <x:v>61</x:v>
      </x:c>
      <x:c r="I65" s="63" t="n">
        <x:v>56</x:v>
      </x:c>
      <x:c r="J65" s="63" t="n">
        <x:v>73</x:v>
      </x:c>
      <x:c r="K65" s="63" t="n">
        <x:v>90</x:v>
      </x:c>
      <x:c r="L65" s="63" t="n">
        <x:v>30.8</x:v>
      </x:c>
      <x:c r="M65" s="63" t="n">
        <x:v>19.6</x:v>
      </x:c>
      <x:c r="N65" s="63" t="n">
        <x:v>43.1</x:v>
      </x:c>
      <x:c r="O65" s="63" t="n">
        <x:v>1</x:v>
      </x:c>
      <x:c r="P65" s="42" t="str">
        <x:v>模拟数据/方法演示</x:v>
      </x:c>
    </x:row>
    <x:row r="66">
      <x:c r="A66" s="42" t="str">
        <x:v>天水-demo</x:v>
      </x:c>
      <x:c r="B66" s="42" t="str">
        <x:v>天水</x:v>
      </x:c>
      <x:c r="C66" s="42" t="str">
        <x:v>历史正例模板</x:v>
      </x:c>
      <x:c r="D66" s="63" t="n">
        <x:v>-11</x:v>
      </x:c>
      <x:c r="E66" s="63" t="n">
        <x:v>42.5</x:v>
      </x:c>
      <x:c r="F66" s="63" t="n">
        <x:v>31.9</x:v>
      </x:c>
      <x:c r="G66" s="63" t="n">
        <x:v>26.5</x:v>
      </x:c>
      <x:c r="H66" s="63" t="n">
        <x:v>61</x:v>
      </x:c>
      <x:c r="I66" s="63" t="n">
        <x:v>56</x:v>
      </x:c>
      <x:c r="J66" s="63" t="n">
        <x:v>73</x:v>
      </x:c>
      <x:c r="K66" s="63" t="n">
        <x:v>90</x:v>
      </x:c>
      <x:c r="L66" s="63" t="n">
        <x:v>32.9</x:v>
      </x:c>
      <x:c r="M66" s="63" t="n">
        <x:v>15.5</x:v>
      </x:c>
      <x:c r="N66" s="63" t="n">
        <x:v>45.2</x:v>
      </x:c>
      <x:c r="O66" s="63" t="n">
        <x:v>1</x:v>
      </x:c>
      <x:c r="P66" s="42" t="str">
        <x:v>模拟数据/方法演示</x:v>
      </x:c>
    </x:row>
    <x:row r="67">
      <x:c r="A67" s="42" t="str">
        <x:v>天水-demo</x:v>
      </x:c>
      <x:c r="B67" s="42" t="str">
        <x:v>天水</x:v>
      </x:c>
      <x:c r="C67" s="42" t="str">
        <x:v>历史正例模板</x:v>
      </x:c>
      <x:c r="D67" s="63" t="n">
        <x:v>-10</x:v>
      </x:c>
      <x:c r="E67" s="63" t="n">
        <x:v>45.2</x:v>
      </x:c>
      <x:c r="F67" s="63" t="n">
        <x:v>42.4</x:v>
      </x:c>
      <x:c r="G67" s="63" t="n">
        <x:v>29.8</x:v>
      </x:c>
      <x:c r="H67" s="63" t="n">
        <x:v>61</x:v>
      </x:c>
      <x:c r="I67" s="63" t="n">
        <x:v>56</x:v>
      </x:c>
      <x:c r="J67" s="63" t="n">
        <x:v>73</x:v>
      </x:c>
      <x:c r="K67" s="63" t="n">
        <x:v>90</x:v>
      </x:c>
      <x:c r="L67" s="63" t="n">
        <x:v>37.6</x:v>
      </x:c>
      <x:c r="M67" s="63" t="n">
        <x:v>20.8</x:v>
      </x:c>
      <x:c r="N67" s="63" t="n">
        <x:v>47.8</x:v>
      </x:c>
      <x:c r="O67" s="63" t="n">
        <x:v>1</x:v>
      </x:c>
      <x:c r="P67" s="42" t="str">
        <x:v>模拟数据/方法演示</x:v>
      </x:c>
    </x:row>
    <x:row r="68">
      <x:c r="A68" s="42" t="str">
        <x:v>天水-demo</x:v>
      </x:c>
      <x:c r="B68" s="42" t="str">
        <x:v>天水</x:v>
      </x:c>
      <x:c r="C68" s="42" t="str">
        <x:v>历史正例模板</x:v>
      </x:c>
      <x:c r="D68" s="63" t="n">
        <x:v>-9</x:v>
      </x:c>
      <x:c r="E68" s="63" t="n">
        <x:v>53.9</x:v>
      </x:c>
      <x:c r="F68" s="63" t="n">
        <x:v>39.5</x:v>
      </x:c>
      <x:c r="G68" s="63" t="n">
        <x:v>31.5</x:v>
      </x:c>
      <x:c r="H68" s="63" t="n">
        <x:v>61</x:v>
      </x:c>
      <x:c r="I68" s="63" t="n">
        <x:v>56</x:v>
      </x:c>
      <x:c r="J68" s="63" t="n">
        <x:v>73</x:v>
      </x:c>
      <x:c r="K68" s="63" t="n">
        <x:v>90</x:v>
      </x:c>
      <x:c r="L68" s="63" t="n">
        <x:v>40.4</x:v>
      </x:c>
      <x:c r="M68" s="63" t="n">
        <x:v>22.2</x:v>
      </x:c>
      <x:c r="N68" s="63" t="n">
        <x:v>49.4</x:v>
      </x:c>
      <x:c r="O68" s="63" t="n">
        <x:v>1</x:v>
      </x:c>
      <x:c r="P68" s="42" t="str">
        <x:v>模拟数据/方法演示</x:v>
      </x:c>
    </x:row>
    <x:row r="69">
      <x:c r="A69" s="42" t="str">
        <x:v>天水-demo</x:v>
      </x:c>
      <x:c r="B69" s="42" t="str">
        <x:v>天水</x:v>
      </x:c>
      <x:c r="C69" s="42" t="str">
        <x:v>历史正例模板</x:v>
      </x:c>
      <x:c r="D69" s="63" t="n">
        <x:v>-8</x:v>
      </x:c>
      <x:c r="E69" s="63" t="n">
        <x:v>59</x:v>
      </x:c>
      <x:c r="F69" s="63" t="n">
        <x:v>48.4</x:v>
      </x:c>
      <x:c r="G69" s="63" t="n">
        <x:v>31.7</x:v>
      </x:c>
      <x:c r="H69" s="63" t="n">
        <x:v>61</x:v>
      </x:c>
      <x:c r="I69" s="63" t="n">
        <x:v>56</x:v>
      </x:c>
      <x:c r="J69" s="63" t="n">
        <x:v>73</x:v>
      </x:c>
      <x:c r="K69" s="63" t="n">
        <x:v>90</x:v>
      </x:c>
      <x:c r="L69" s="63" t="n">
        <x:v>44.1</x:v>
      </x:c>
      <x:c r="M69" s="63" t="n">
        <x:v>16.5</x:v>
      </x:c>
      <x:c r="N69" s="63" t="n">
        <x:v>53.4</x:v>
      </x:c>
      <x:c r="O69" s="63" t="n">
        <x:v>1</x:v>
      </x:c>
      <x:c r="P69" s="42" t="str">
        <x:v>模拟数据/方法演示</x:v>
      </x:c>
    </x:row>
    <x:row r="70">
      <x:c r="A70" s="42" t="str">
        <x:v>天水-demo</x:v>
      </x:c>
      <x:c r="B70" s="42" t="str">
        <x:v>天水</x:v>
      </x:c>
      <x:c r="C70" s="42" t="str">
        <x:v>历史正例模板</x:v>
      </x:c>
      <x:c r="D70" s="63" t="n">
        <x:v>-7</x:v>
      </x:c>
      <x:c r="E70" s="63" t="n">
        <x:v>64.9</x:v>
      </x:c>
      <x:c r="F70" s="63" t="n">
        <x:v>48.5</x:v>
      </x:c>
      <x:c r="G70" s="63" t="n">
        <x:v>34</x:v>
      </x:c>
      <x:c r="H70" s="63" t="n">
        <x:v>61</x:v>
      </x:c>
      <x:c r="I70" s="63" t="n">
        <x:v>56</x:v>
      </x:c>
      <x:c r="J70" s="63" t="n">
        <x:v>73</x:v>
      </x:c>
      <x:c r="K70" s="63" t="n">
        <x:v>90</x:v>
      </x:c>
      <x:c r="L70" s="63" t="n">
        <x:v>47.4</x:v>
      </x:c>
      <x:c r="M70" s="63" t="n">
        <x:v>24.9</x:v>
      </x:c>
      <x:c r="N70" s="63" t="n">
        <x:v>54.1</x:v>
      </x:c>
      <x:c r="O70" s="63" t="n">
        <x:v>1</x:v>
      </x:c>
      <x:c r="P70" s="42" t="str">
        <x:v>模拟数据/方法演示</x:v>
      </x:c>
    </x:row>
    <x:row r="71">
      <x:c r="A71" s="42" t="str">
        <x:v>天水-demo</x:v>
      </x:c>
      <x:c r="B71" s="42" t="str">
        <x:v>天水</x:v>
      </x:c>
      <x:c r="C71" s="42" t="str">
        <x:v>历史正例模板</x:v>
      </x:c>
      <x:c r="D71" s="63" t="n">
        <x:v>-6</x:v>
      </x:c>
      <x:c r="E71" s="63" t="n">
        <x:v>63.2</x:v>
      </x:c>
      <x:c r="F71" s="63" t="n">
        <x:v>53</x:v>
      </x:c>
      <x:c r="G71" s="63" t="n">
        <x:v>37.8</x:v>
      </x:c>
      <x:c r="H71" s="63" t="n">
        <x:v>61</x:v>
      </x:c>
      <x:c r="I71" s="63" t="n">
        <x:v>56</x:v>
      </x:c>
      <x:c r="J71" s="63" t="n">
        <x:v>73</x:v>
      </x:c>
      <x:c r="K71" s="63" t="n">
        <x:v>90</x:v>
      </x:c>
      <x:c r="L71" s="63" t="n">
        <x:v>52.6</x:v>
      </x:c>
      <x:c r="M71" s="63" t="n">
        <x:v>24.3</x:v>
      </x:c>
      <x:c r="N71" s="63" t="n">
        <x:v>55.6</x:v>
      </x:c>
      <x:c r="O71" s="63" t="n">
        <x:v>1</x:v>
      </x:c>
      <x:c r="P71" s="42" t="str">
        <x:v>模拟数据/方法演示</x:v>
      </x:c>
    </x:row>
    <x:row r="72">
      <x:c r="A72" s="42" t="str">
        <x:v>天水-demo</x:v>
      </x:c>
      <x:c r="B72" s="42" t="str">
        <x:v>天水</x:v>
      </x:c>
      <x:c r="C72" s="42" t="str">
        <x:v>历史正例模板</x:v>
      </x:c>
      <x:c r="D72" s="63" t="n">
        <x:v>-5</x:v>
      </x:c>
      <x:c r="E72" s="63" t="n">
        <x:v>67.9</x:v>
      </x:c>
      <x:c r="F72" s="63" t="n">
        <x:v>56.8</x:v>
      </x:c>
      <x:c r="G72" s="63" t="n">
        <x:v>41.2</x:v>
      </x:c>
      <x:c r="H72" s="63" t="n">
        <x:v>61</x:v>
      </x:c>
      <x:c r="I72" s="63" t="n">
        <x:v>56</x:v>
      </x:c>
      <x:c r="J72" s="63" t="n">
        <x:v>73</x:v>
      </x:c>
      <x:c r="K72" s="63" t="n">
        <x:v>90</x:v>
      </x:c>
      <x:c r="L72" s="63" t="n">
        <x:v>56.6</x:v>
      </x:c>
      <x:c r="M72" s="63" t="n">
        <x:v>24.3</x:v>
      </x:c>
      <x:c r="N72" s="63" t="n">
        <x:v>58.1</x:v>
      </x:c>
      <x:c r="O72" s="63" t="n">
        <x:v>1</x:v>
      </x:c>
      <x:c r="P72" s="42" t="str">
        <x:v>模拟数据/方法演示</x:v>
      </x:c>
    </x:row>
    <x:row r="73">
      <x:c r="A73" s="42" t="str">
        <x:v>天水-demo</x:v>
      </x:c>
      <x:c r="B73" s="42" t="str">
        <x:v>天水</x:v>
      </x:c>
      <x:c r="C73" s="42" t="str">
        <x:v>历史正例模板</x:v>
      </x:c>
      <x:c r="D73" s="63" t="n">
        <x:v>-4</x:v>
      </x:c>
      <x:c r="E73" s="63" t="n">
        <x:v>70.8</x:v>
      </x:c>
      <x:c r="F73" s="63" t="n">
        <x:v>63.8</x:v>
      </x:c>
      <x:c r="G73" s="63" t="n">
        <x:v>48.4</x:v>
      </x:c>
      <x:c r="H73" s="63" t="n">
        <x:v>61</x:v>
      </x:c>
      <x:c r="I73" s="63" t="n">
        <x:v>56</x:v>
      </x:c>
      <x:c r="J73" s="63" t="n">
        <x:v>73</x:v>
      </x:c>
      <x:c r="K73" s="63" t="n">
        <x:v>90</x:v>
      </x:c>
      <x:c r="L73" s="63" t="n">
        <x:v>61.4</x:v>
      </x:c>
      <x:c r="M73" s="63" t="n">
        <x:v>28.5</x:v>
      </x:c>
      <x:c r="N73" s="63" t="n">
        <x:v>60.7</x:v>
      </x:c>
      <x:c r="O73" s="63" t="n">
        <x:v>1</x:v>
      </x:c>
      <x:c r="P73" s="42" t="str">
        <x:v>模拟数据/方法演示</x:v>
      </x:c>
    </x:row>
    <x:row r="74">
      <x:c r="A74" s="42" t="str">
        <x:v>天水-demo</x:v>
      </x:c>
      <x:c r="B74" s="42" t="str">
        <x:v>天水</x:v>
      </x:c>
      <x:c r="C74" s="42" t="str">
        <x:v>历史正例模板</x:v>
      </x:c>
      <x:c r="D74" s="63" t="n">
        <x:v>-3</x:v>
      </x:c>
      <x:c r="E74" s="63" t="n">
        <x:v>76.6</x:v>
      </x:c>
      <x:c r="F74" s="63" t="n">
        <x:v>66.7</x:v>
      </x:c>
      <x:c r="G74" s="63" t="n">
        <x:v>53.5</x:v>
      </x:c>
      <x:c r="H74" s="63" t="n">
        <x:v>61</x:v>
      </x:c>
      <x:c r="I74" s="63" t="n">
        <x:v>56</x:v>
      </x:c>
      <x:c r="J74" s="63" t="n">
        <x:v>73</x:v>
      </x:c>
      <x:c r="K74" s="63" t="n">
        <x:v>90</x:v>
      </x:c>
      <x:c r="L74" s="63" t="n">
        <x:v>59.7</x:v>
      </x:c>
      <x:c r="M74" s="63" t="n">
        <x:v>31.9</x:v>
      </x:c>
      <x:c r="N74" s="63" t="n">
        <x:v>62.4</x:v>
      </x:c>
      <x:c r="O74" s="63" t="n">
        <x:v>1</x:v>
      </x:c>
      <x:c r="P74" s="42" t="str">
        <x:v>模拟数据/方法演示</x:v>
      </x:c>
    </x:row>
    <x:row r="75">
      <x:c r="A75" s="42" t="str">
        <x:v>天水-demo</x:v>
      </x:c>
      <x:c r="B75" s="42" t="str">
        <x:v>天水</x:v>
      </x:c>
      <x:c r="C75" s="42" t="str">
        <x:v>历史正例模板</x:v>
      </x:c>
      <x:c r="D75" s="63" t="n">
        <x:v>-2</x:v>
      </x:c>
      <x:c r="E75" s="63" t="n">
        <x:v>73.4</x:v>
      </x:c>
      <x:c r="F75" s="63" t="n">
        <x:v>72</x:v>
      </x:c>
      <x:c r="G75" s="63" t="n">
        <x:v>59.7</x:v>
      </x:c>
      <x:c r="H75" s="63" t="n">
        <x:v>61</x:v>
      </x:c>
      <x:c r="I75" s="63" t="n">
        <x:v>56</x:v>
      </x:c>
      <x:c r="J75" s="63" t="n">
        <x:v>73</x:v>
      </x:c>
      <x:c r="K75" s="63" t="n">
        <x:v>90</x:v>
      </x:c>
      <x:c r="L75" s="63" t="n">
        <x:v>68.4</x:v>
      </x:c>
      <x:c r="M75" s="63" t="n">
        <x:v>33.9</x:v>
      </x:c>
      <x:c r="N75" s="63" t="n">
        <x:v>64</x:v>
      </x:c>
      <x:c r="O75" s="63" t="n">
        <x:v>1</x:v>
      </x:c>
      <x:c r="P75" s="42" t="str">
        <x:v>模拟数据/方法演示</x:v>
      </x:c>
    </x:row>
    <x:row r="76">
      <x:c r="A76" s="42" t="str">
        <x:v>天水-demo</x:v>
      </x:c>
      <x:c r="B76" s="42" t="str">
        <x:v>天水</x:v>
      </x:c>
      <x:c r="C76" s="42" t="str">
        <x:v>历史正例模板</x:v>
      </x:c>
      <x:c r="D76" s="63" t="n">
        <x:v>-1</x:v>
      </x:c>
      <x:c r="E76" s="63" t="n">
        <x:v>72.6</x:v>
      </x:c>
      <x:c r="F76" s="63" t="n">
        <x:v>67.4</x:v>
      </x:c>
      <x:c r="G76" s="63" t="n">
        <x:v>64.2</x:v>
      </x:c>
      <x:c r="H76" s="63" t="n">
        <x:v>61</x:v>
      </x:c>
      <x:c r="I76" s="63" t="n">
        <x:v>56</x:v>
      </x:c>
      <x:c r="J76" s="63" t="n">
        <x:v>73</x:v>
      </x:c>
      <x:c r="K76" s="63" t="n">
        <x:v>90</x:v>
      </x:c>
      <x:c r="L76" s="63" t="n">
        <x:v>68.1</x:v>
      </x:c>
      <x:c r="M76" s="63" t="n">
        <x:v>37.7</x:v>
      </x:c>
      <x:c r="N76" s="63" t="n">
        <x:v>62.9</x:v>
      </x:c>
      <x:c r="O76" s="63" t="n">
        <x:v>1</x:v>
      </x:c>
      <x:c r="P76" s="42" t="str">
        <x:v>模拟数据/方法演示</x:v>
      </x:c>
    </x:row>
    <x:row r="77">
      <x:c r="A77" s="42" t="str">
        <x:v>天水-demo</x:v>
      </x:c>
      <x:c r="B77" s="42" t="str">
        <x:v>天水</x:v>
      </x:c>
      <x:c r="C77" s="42" t="str">
        <x:v>历史正例模板</x:v>
      </x:c>
      <x:c r="D77" s="63" t="n">
        <x:v>0</x:v>
      </x:c>
      <x:c r="E77" s="63" t="n">
        <x:v>76.9</x:v>
      </x:c>
      <x:c r="F77" s="63" t="n">
        <x:v>71</x:v>
      </x:c>
      <x:c r="G77" s="63" t="n">
        <x:v>67.4</x:v>
      </x:c>
      <x:c r="H77" s="63" t="n">
        <x:v>61</x:v>
      </x:c>
      <x:c r="I77" s="63" t="n">
        <x:v>56</x:v>
      </x:c>
      <x:c r="J77" s="63" t="n">
        <x:v>73</x:v>
      </x:c>
      <x:c r="K77" s="63" t="n">
        <x:v>90</x:v>
      </x:c>
      <x:c r="L77" s="63" t="n">
        <x:v>66.3</x:v>
      </x:c>
      <x:c r="M77" s="63" t="n">
        <x:v>35.6</x:v>
      </x:c>
      <x:c r="N77" s="63" t="n">
        <x:v>65</x:v>
      </x:c>
      <x:c r="O77" s="63" t="n">
        <x:v>1</x:v>
      </x:c>
      <x:c r="P77" s="42" t="str">
        <x:v>模拟数据/方法演示</x:v>
      </x:c>
    </x:row>
    <x:row r="78">
      <x:c r="A78" s="42" t="str">
        <x:v>天水-demo</x:v>
      </x:c>
      <x:c r="B78" s="42" t="str">
        <x:v>天水</x:v>
      </x:c>
      <x:c r="C78" s="42" t="str">
        <x:v>历史正例模板</x:v>
      </x:c>
      <x:c r="D78" s="63" t="n">
        <x:v>1</x:v>
      </x:c>
      <x:c r="E78" s="63" t="n">
        <x:v>79.5</x:v>
      </x:c>
      <x:c r="F78" s="63" t="n">
        <x:v>68.5</x:v>
      </x:c>
      <x:c r="G78" s="63" t="n">
        <x:v>73.7</x:v>
      </x:c>
      <x:c r="H78" s="63" t="n">
        <x:v>61</x:v>
      </x:c>
      <x:c r="I78" s="63" t="n">
        <x:v>56</x:v>
      </x:c>
      <x:c r="J78" s="63" t="n">
        <x:v>73</x:v>
      </x:c>
      <x:c r="K78" s="63" t="n">
        <x:v>90</x:v>
      </x:c>
      <x:c r="L78" s="63" t="n">
        <x:v>69.2</x:v>
      </x:c>
      <x:c r="M78" s="63" t="n">
        <x:v>40.1</x:v>
      </x:c>
      <x:c r="N78" s="63" t="n">
        <x:v>65.5</x:v>
      </x:c>
      <x:c r="O78" s="63" t="n">
        <x:v>1</x:v>
      </x:c>
      <x:c r="P78" s="42" t="str">
        <x:v>模拟数据/方法演示</x:v>
      </x:c>
    </x:row>
    <x:row r="79">
      <x:c r="A79" s="42" t="str">
        <x:v>天水-demo</x:v>
      </x:c>
      <x:c r="B79" s="42" t="str">
        <x:v>天水</x:v>
      </x:c>
      <x:c r="C79" s="42" t="str">
        <x:v>历史正例模板</x:v>
      </x:c>
      <x:c r="D79" s="63" t="n">
        <x:v>2</x:v>
      </x:c>
      <x:c r="E79" s="63" t="n">
        <x:v>82.2</x:v>
      </x:c>
      <x:c r="F79" s="63" t="n">
        <x:v>75.6</x:v>
      </x:c>
      <x:c r="G79" s="63" t="n">
        <x:v>74.8</x:v>
      </x:c>
      <x:c r="H79" s="63" t="n">
        <x:v>61</x:v>
      </x:c>
      <x:c r="I79" s="63" t="n">
        <x:v>56</x:v>
      </x:c>
      <x:c r="J79" s="63" t="n">
        <x:v>73</x:v>
      </x:c>
      <x:c r="K79" s="63" t="n">
        <x:v>90</x:v>
      </x:c>
      <x:c r="L79" s="63" t="n">
        <x:v>67.5</x:v>
      </x:c>
      <x:c r="M79" s="63" t="n">
        <x:v>40.7</x:v>
      </x:c>
      <x:c r="N79" s="63" t="n">
        <x:v>67.3</x:v>
      </x:c>
      <x:c r="O79" s="63" t="n">
        <x:v>1</x:v>
      </x:c>
      <x:c r="P79" s="42" t="str">
        <x:v>模拟数据/方法演示</x:v>
      </x:c>
    </x:row>
    <x:row r="80">
      <x:c r="A80" s="42" t="str">
        <x:v>天水-demo</x:v>
      </x:c>
      <x:c r="B80" s="42" t="str">
        <x:v>天水</x:v>
      </x:c>
      <x:c r="C80" s="42" t="str">
        <x:v>历史正例模板</x:v>
      </x:c>
      <x:c r="D80" s="63" t="n">
        <x:v>3</x:v>
      </x:c>
      <x:c r="E80" s="63" t="n">
        <x:v>76</x:v>
      </x:c>
      <x:c r="F80" s="63" t="n">
        <x:v>72.6</x:v>
      </x:c>
      <x:c r="G80" s="63" t="n">
        <x:v>76.2</x:v>
      </x:c>
      <x:c r="H80" s="63" t="n">
        <x:v>61</x:v>
      </x:c>
      <x:c r="I80" s="63" t="n">
        <x:v>56</x:v>
      </x:c>
      <x:c r="J80" s="63" t="n">
        <x:v>73</x:v>
      </x:c>
      <x:c r="K80" s="63" t="n">
        <x:v>90</x:v>
      </x:c>
      <x:c r="L80" s="63" t="n">
        <x:v>69.2</x:v>
      </x:c>
      <x:c r="M80" s="63" t="n">
        <x:v>39.8</x:v>
      </x:c>
      <x:c r="N80" s="63" t="n">
        <x:v>65.8</x:v>
      </x:c>
      <x:c r="O80" s="63" t="n">
        <x:v>1</x:v>
      </x:c>
      <x:c r="P80" s="42" t="str">
        <x:v>模拟数据/方法演示</x:v>
      </x:c>
    </x:row>
    <x:row r="81">
      <x:c r="A81" s="42" t="str">
        <x:v>天水-demo</x:v>
      </x:c>
      <x:c r="B81" s="42" t="str">
        <x:v>天水</x:v>
      </x:c>
      <x:c r="C81" s="42" t="str">
        <x:v>历史正例模板</x:v>
      </x:c>
      <x:c r="D81" s="63" t="n">
        <x:v>4</x:v>
      </x:c>
      <x:c r="E81" s="63" t="n">
        <x:v>79</x:v>
      </x:c>
      <x:c r="F81" s="63" t="n">
        <x:v>76.3</x:v>
      </x:c>
      <x:c r="G81" s="63" t="n">
        <x:v>77.2</x:v>
      </x:c>
      <x:c r="H81" s="63" t="n">
        <x:v>61</x:v>
      </x:c>
      <x:c r="I81" s="63" t="n">
        <x:v>56</x:v>
      </x:c>
      <x:c r="J81" s="63" t="n">
        <x:v>73</x:v>
      </x:c>
      <x:c r="K81" s="63" t="n">
        <x:v>90</x:v>
      </x:c>
      <x:c r="L81" s="63" t="n">
        <x:v>73.3</x:v>
      </x:c>
      <x:c r="M81" s="63" t="n">
        <x:v>37</x:v>
      </x:c>
      <x:c r="N81" s="63" t="n">
        <x:v>68.1</x:v>
      </x:c>
      <x:c r="O81" s="63" t="n">
        <x:v>1</x:v>
      </x:c>
      <x:c r="P81" s="42" t="str">
        <x:v>模拟数据/方法演示</x:v>
      </x:c>
    </x:row>
    <x:row r="82">
      <x:c r="A82" s="42" t="str">
        <x:v>天水-demo</x:v>
      </x:c>
      <x:c r="B82" s="42" t="str">
        <x:v>天水</x:v>
      </x:c>
      <x:c r="C82" s="42" t="str">
        <x:v>历史正例模板</x:v>
      </x:c>
      <x:c r="D82" s="63" t="n">
        <x:v>5</x:v>
      </x:c>
      <x:c r="E82" s="63" t="n">
        <x:v>78.4</x:v>
      </x:c>
      <x:c r="F82" s="63" t="n">
        <x:v>77</x:v>
      </x:c>
      <x:c r="G82" s="63" t="n">
        <x:v>82.7</x:v>
      </x:c>
      <x:c r="H82" s="63" t="n">
        <x:v>61</x:v>
      </x:c>
      <x:c r="I82" s="63" t="n">
        <x:v>56</x:v>
      </x:c>
      <x:c r="J82" s="63" t="n">
        <x:v>73</x:v>
      </x:c>
      <x:c r="K82" s="63" t="n">
        <x:v>90</x:v>
      </x:c>
      <x:c r="L82" s="63" t="n">
        <x:v>73.5</x:v>
      </x:c>
      <x:c r="M82" s="63" t="n">
        <x:v>40.6</x:v>
      </x:c>
      <x:c r="N82" s="63" t="n">
        <x:v>68.3</x:v>
      </x:c>
      <x:c r="O82" s="63" t="n">
        <x:v>1</x:v>
      </x:c>
      <x:c r="P82" s="42" t="str">
        <x:v>模拟数据/方法演示</x:v>
      </x:c>
    </x:row>
    <x:row r="83">
      <x:c r="A83" s="42" t="str">
        <x:v>天水-demo</x:v>
      </x:c>
      <x:c r="B83" s="42" t="str">
        <x:v>天水</x:v>
      </x:c>
      <x:c r="C83" s="42" t="str">
        <x:v>历史正例模板</x:v>
      </x:c>
      <x:c r="D83" s="63" t="n">
        <x:v>6</x:v>
      </x:c>
      <x:c r="E83" s="63" t="n">
        <x:v>81.2</x:v>
      </x:c>
      <x:c r="F83" s="63" t="n">
        <x:v>74.6</x:v>
      </x:c>
      <x:c r="G83" s="63" t="n">
        <x:v>78.6</x:v>
      </x:c>
      <x:c r="H83" s="63" t="n">
        <x:v>61</x:v>
      </x:c>
      <x:c r="I83" s="63" t="n">
        <x:v>56</x:v>
      </x:c>
      <x:c r="J83" s="63" t="n">
        <x:v>73</x:v>
      </x:c>
      <x:c r="K83" s="63" t="n">
        <x:v>90</x:v>
      </x:c>
      <x:c r="L83" s="63" t="n">
        <x:v>76.1</x:v>
      </x:c>
      <x:c r="M83" s="63" t="n">
        <x:v>40.7</x:v>
      </x:c>
      <x:c r="N83" s="63" t="n">
        <x:v>68.2</x:v>
      </x:c>
      <x:c r="O83" s="63" t="n">
        <x:v>1</x:v>
      </x:c>
      <x:c r="P83" s="42" t="str">
        <x:v>模拟数据/方法演示</x:v>
      </x:c>
    </x:row>
    <x:row r="84">
      <x:c r="A84" s="42" t="str">
        <x:v>天水-demo</x:v>
      </x:c>
      <x:c r="B84" s="42" t="str">
        <x:v>天水</x:v>
      </x:c>
      <x:c r="C84" s="42" t="str">
        <x:v>历史正例模板</x:v>
      </x:c>
      <x:c r="D84" s="63" t="n">
        <x:v>7</x:v>
      </x:c>
      <x:c r="E84" s="63" t="n">
        <x:v>83</x:v>
      </x:c>
      <x:c r="F84" s="63" t="n">
        <x:v>72.6</x:v>
      </x:c>
      <x:c r="G84" s="63" t="n">
        <x:v>78.5</x:v>
      </x:c>
      <x:c r="H84" s="63" t="n">
        <x:v>61</x:v>
      </x:c>
      <x:c r="I84" s="63" t="n">
        <x:v>56</x:v>
      </x:c>
      <x:c r="J84" s="63" t="n">
        <x:v>73</x:v>
      </x:c>
      <x:c r="K84" s="63" t="n">
        <x:v>90</x:v>
      </x:c>
      <x:c r="L84" s="63" t="n">
        <x:v>76.7</x:v>
      </x:c>
      <x:c r="M84" s="63" t="n">
        <x:v>41.7</x:v>
      </x:c>
      <x:c r="N84" s="63" t="n">
        <x:v>68.1</x:v>
      </x:c>
      <x:c r="O84" s="63" t="n">
        <x:v>1</x:v>
      </x:c>
      <x:c r="P84" s="42" t="str">
        <x:v>模拟数据/方法演示</x:v>
      </x:c>
    </x:row>
    <x:row r="85">
      <x:c r="A85" s="42" t="str">
        <x:v>天水-demo</x:v>
      </x:c>
      <x:c r="B85" s="42" t="str">
        <x:v>天水</x:v>
      </x:c>
      <x:c r="C85" s="42" t="str">
        <x:v>历史正例模板</x:v>
      </x:c>
      <x:c r="D85" s="63" t="n">
        <x:v>8</x:v>
      </x:c>
      <x:c r="E85" s="63" t="n">
        <x:v>81.2</x:v>
      </x:c>
      <x:c r="F85" s="63" t="n">
        <x:v>72.7</x:v>
      </x:c>
      <x:c r="G85" s="63" t="n">
        <x:v>77.1</x:v>
      </x:c>
      <x:c r="H85" s="63" t="n">
        <x:v>61</x:v>
      </x:c>
      <x:c r="I85" s="63" t="n">
        <x:v>56</x:v>
      </x:c>
      <x:c r="J85" s="63" t="n">
        <x:v>73</x:v>
      </x:c>
      <x:c r="K85" s="63" t="n">
        <x:v>90</x:v>
      </x:c>
      <x:c r="L85" s="63" t="n">
        <x:v>72.7</x:v>
      </x:c>
      <x:c r="M85" s="63" t="n">
        <x:v>42.1</x:v>
      </x:c>
      <x:c r="N85" s="63" t="n">
        <x:v>67.1</x:v>
      </x:c>
      <x:c r="O85" s="63" t="n">
        <x:v>1</x:v>
      </x:c>
      <x:c r="P85" s="42" t="str">
        <x:v>模拟数据/方法演示</x:v>
      </x:c>
    </x:row>
    <x:row r="86">
      <x:c r="A86" s="42" t="str">
        <x:v>天水-demo</x:v>
      </x:c>
      <x:c r="B86" s="42" t="str">
        <x:v>天水</x:v>
      </x:c>
      <x:c r="C86" s="42" t="str">
        <x:v>历史正例模板</x:v>
      </x:c>
      <x:c r="D86" s="63" t="n">
        <x:v>9</x:v>
      </x:c>
      <x:c r="E86" s="63" t="n">
        <x:v>80.3</x:v>
      </x:c>
      <x:c r="F86" s="63" t="n">
        <x:v>75.4</x:v>
      </x:c>
      <x:c r="G86" s="63" t="n">
        <x:v>79.9</x:v>
      </x:c>
      <x:c r="H86" s="63" t="n">
        <x:v>61</x:v>
      </x:c>
      <x:c r="I86" s="63" t="n">
        <x:v>56</x:v>
      </x:c>
      <x:c r="J86" s="63" t="n">
        <x:v>73</x:v>
      </x:c>
      <x:c r="K86" s="63" t="n">
        <x:v>90</x:v>
      </x:c>
      <x:c r="L86" s="63" t="n">
        <x:v>72.8</x:v>
      </x:c>
      <x:c r="M86" s="63" t="n">
        <x:v>41.6</x:v>
      </x:c>
      <x:c r="N86" s="63" t="n">
        <x:v>67.8</x:v>
      </x:c>
      <x:c r="O86" s="63" t="n">
        <x:v>1</x:v>
      </x:c>
      <x:c r="P86" s="42" t="str">
        <x:v>模拟数据/方法演示</x:v>
      </x:c>
    </x:row>
    <x:row r="87">
      <x:c r="A87" s="42" t="str">
        <x:v>天水-demo</x:v>
      </x:c>
      <x:c r="B87" s="42" t="str">
        <x:v>天水</x:v>
      </x:c>
      <x:c r="C87" s="42" t="str">
        <x:v>历史正例模板</x:v>
      </x:c>
      <x:c r="D87" s="63" t="n">
        <x:v>10</x:v>
      </x:c>
      <x:c r="E87" s="63" t="n">
        <x:v>83.1</x:v>
      </x:c>
      <x:c r="F87" s="63" t="n">
        <x:v>75.1</x:v>
      </x:c>
      <x:c r="G87" s="63" t="n">
        <x:v>83.2</x:v>
      </x:c>
      <x:c r="H87" s="63" t="n">
        <x:v>61</x:v>
      </x:c>
      <x:c r="I87" s="63" t="n">
        <x:v>56</x:v>
      </x:c>
      <x:c r="J87" s="63" t="n">
        <x:v>73</x:v>
      </x:c>
      <x:c r="K87" s="63" t="n">
        <x:v>90</x:v>
      </x:c>
      <x:c r="L87" s="63" t="n">
        <x:v>70</x:v>
      </x:c>
      <x:c r="M87" s="63" t="n">
        <x:v>44</x:v>
      </x:c>
      <x:c r="N87" s="63" t="n">
        <x:v>68.1</x:v>
      </x:c>
      <x:c r="O87" s="63" t="n">
        <x:v>1</x:v>
      </x:c>
      <x:c r="P87" s="42" t="str">
        <x:v>模拟数据/方法演示</x:v>
      </x:c>
    </x:row>
    <x:row r="88">
      <x:c r="A88" s="42" t="str">
        <x:v>哈尔滨-demo</x:v>
      </x:c>
      <x:c r="B88" s="42" t="str">
        <x:v>哈尔滨</x:v>
      </x:c>
      <x:c r="C88" s="42" t="str">
        <x:v>历史正例模板</x:v>
      </x:c>
      <x:c r="D88" s="63" t="n">
        <x:v>-30</x:v>
      </x:c>
      <x:c r="E88" s="63" t="n">
        <x:v>22.3</x:v>
      </x:c>
      <x:c r="F88" s="63" t="n">
        <x:v>12.8</x:v>
      </x:c>
      <x:c r="G88" s="63" t="n">
        <x:v>28.1</x:v>
      </x:c>
      <x:c r="H88" s="63" t="n">
        <x:v>74</x:v>
      </x:c>
      <x:c r="I88" s="63" t="n">
        <x:v>82</x:v>
      </x:c>
      <x:c r="J88" s="63" t="n">
        <x:v>88</x:v>
      </x:c>
      <x:c r="K88" s="63" t="n">
        <x:v>76</x:v>
      </x:c>
      <x:c r="L88" s="63" t="n">
        <x:v>21.3</x:v>
      </x:c>
      <x:c r="M88" s="63" t="n">
        <x:v>17.5</x:v>
      </x:c>
      <x:c r="N88" s="63" t="n">
        <x:v>40.3</x:v>
      </x:c>
      <x:c r="O88" s="63" t="n">
        <x:v>1</x:v>
      </x:c>
      <x:c r="P88" s="42" t="str">
        <x:v>模拟数据/方法演示</x:v>
      </x:c>
    </x:row>
    <x:row r="89">
      <x:c r="A89" s="42" t="str">
        <x:v>哈尔滨-demo</x:v>
      </x:c>
      <x:c r="B89" s="42" t="str">
        <x:v>哈尔滨</x:v>
      </x:c>
      <x:c r="C89" s="42" t="str">
        <x:v>历史正例模板</x:v>
      </x:c>
      <x:c r="D89" s="63" t="n">
        <x:v>-29</x:v>
      </x:c>
      <x:c r="E89" s="63" t="n">
        <x:v>17.1</x:v>
      </x:c>
      <x:c r="F89" s="63" t="n">
        <x:v>12.1</x:v>
      </x:c>
      <x:c r="G89" s="63" t="n">
        <x:v>29.8</x:v>
      </x:c>
      <x:c r="H89" s="63" t="n">
        <x:v>74</x:v>
      </x:c>
      <x:c r="I89" s="63" t="n">
        <x:v>82</x:v>
      </x:c>
      <x:c r="J89" s="63" t="n">
        <x:v>88</x:v>
      </x:c>
      <x:c r="K89" s="63" t="n">
        <x:v>76</x:v>
      </x:c>
      <x:c r="L89" s="63" t="n">
        <x:v>23.9</x:v>
      </x:c>
      <x:c r="M89" s="63" t="n">
        <x:v>20.8</x:v>
      </x:c>
      <x:c r="N89" s="63" t="n">
        <x:v>39</x:v>
      </x:c>
      <x:c r="O89" s="63" t="n">
        <x:v>1</x:v>
      </x:c>
      <x:c r="P89" s="42" t="str">
        <x:v>模拟数据/方法演示</x:v>
      </x:c>
    </x:row>
    <x:row r="90">
      <x:c r="A90" s="42" t="str">
        <x:v>哈尔滨-demo</x:v>
      </x:c>
      <x:c r="B90" s="42" t="str">
        <x:v>哈尔滨</x:v>
      </x:c>
      <x:c r="C90" s="42" t="str">
        <x:v>历史正例模板</x:v>
      </x:c>
      <x:c r="D90" s="63" t="n">
        <x:v>-28</x:v>
      </x:c>
      <x:c r="E90" s="63" t="n">
        <x:v>19</x:v>
      </x:c>
      <x:c r="F90" s="63" t="n">
        <x:v>16.3</x:v>
      </x:c>
      <x:c r="G90" s="63" t="n">
        <x:v>28</x:v>
      </x:c>
      <x:c r="H90" s="63" t="n">
        <x:v>74</x:v>
      </x:c>
      <x:c r="I90" s="63" t="n">
        <x:v>82</x:v>
      </x:c>
      <x:c r="J90" s="63" t="n">
        <x:v>88</x:v>
      </x:c>
      <x:c r="K90" s="63" t="n">
        <x:v>76</x:v>
      </x:c>
      <x:c r="L90" s="63" t="n">
        <x:v>23.1</x:v>
      </x:c>
      <x:c r="M90" s="63" t="n">
        <x:v>21.5</x:v>
      </x:c>
      <x:c r="N90" s="63" t="n">
        <x:v>39.8</x:v>
      </x:c>
      <x:c r="O90" s="63" t="n">
        <x:v>1</x:v>
      </x:c>
      <x:c r="P90" s="42" t="str">
        <x:v>模拟数据/方法演示</x:v>
      </x:c>
    </x:row>
    <x:row r="91">
      <x:c r="A91" s="42" t="str">
        <x:v>哈尔滨-demo</x:v>
      </x:c>
      <x:c r="B91" s="42" t="str">
        <x:v>哈尔滨</x:v>
      </x:c>
      <x:c r="C91" s="42" t="str">
        <x:v>历史正例模板</x:v>
      </x:c>
      <x:c r="D91" s="63" t="n">
        <x:v>-27</x:v>
      </x:c>
      <x:c r="E91" s="63" t="n">
        <x:v>17.1</x:v>
      </x:c>
      <x:c r="F91" s="63" t="n">
        <x:v>15.4</x:v>
      </x:c>
      <x:c r="G91" s="63" t="n">
        <x:v>24.7</x:v>
      </x:c>
      <x:c r="H91" s="63" t="n">
        <x:v>74</x:v>
      </x:c>
      <x:c r="I91" s="63" t="n">
        <x:v>82</x:v>
      </x:c>
      <x:c r="J91" s="63" t="n">
        <x:v>88</x:v>
      </x:c>
      <x:c r="K91" s="63" t="n">
        <x:v>76</x:v>
      </x:c>
      <x:c r="L91" s="63" t="n">
        <x:v>16.7</x:v>
      </x:c>
      <x:c r="M91" s="63" t="n">
        <x:v>16.5</x:v>
      </x:c>
      <x:c r="N91" s="63" t="n">
        <x:v>38.9</x:v>
      </x:c>
      <x:c r="O91" s="63" t="n">
        <x:v>1</x:v>
      </x:c>
      <x:c r="P91" s="42" t="str">
        <x:v>模拟数据/方法演示</x:v>
      </x:c>
    </x:row>
    <x:row r="92">
      <x:c r="A92" s="42" t="str">
        <x:v>哈尔滨-demo</x:v>
      </x:c>
      <x:c r="B92" s="42" t="str">
        <x:v>哈尔滨</x:v>
      </x:c>
      <x:c r="C92" s="42" t="str">
        <x:v>历史正例模板</x:v>
      </x:c>
      <x:c r="D92" s="63" t="n">
        <x:v>-26</x:v>
      </x:c>
      <x:c r="E92" s="63" t="n">
        <x:v>16.7</x:v>
      </x:c>
      <x:c r="F92" s="63" t="n">
        <x:v>18</x:v>
      </x:c>
      <x:c r="G92" s="63" t="n">
        <x:v>25.8</x:v>
      </x:c>
      <x:c r="H92" s="63" t="n">
        <x:v>74</x:v>
      </x:c>
      <x:c r="I92" s="63" t="n">
        <x:v>82</x:v>
      </x:c>
      <x:c r="J92" s="63" t="n">
        <x:v>88</x:v>
      </x:c>
      <x:c r="K92" s="63" t="n">
        <x:v>76</x:v>
      </x:c>
      <x:c r="L92" s="63" t="n">
        <x:v>21.3</x:v>
      </x:c>
      <x:c r="M92" s="63" t="n">
        <x:v>17.9</x:v>
      </x:c>
      <x:c r="N92" s="63" t="n">
        <x:v>39.7</x:v>
      </x:c>
      <x:c r="O92" s="63" t="n">
        <x:v>1</x:v>
      </x:c>
      <x:c r="P92" s="42" t="str">
        <x:v>模拟数据/方法演示</x:v>
      </x:c>
    </x:row>
    <x:row r="93">
      <x:c r="A93" s="42" t="str">
        <x:v>哈尔滨-demo</x:v>
      </x:c>
      <x:c r="B93" s="42" t="str">
        <x:v>哈尔滨</x:v>
      </x:c>
      <x:c r="C93" s="42" t="str">
        <x:v>历史正例模板</x:v>
      </x:c>
      <x:c r="D93" s="63" t="n">
        <x:v>-25</x:v>
      </x:c>
      <x:c r="E93" s="63" t="n">
        <x:v>27.2</x:v>
      </x:c>
      <x:c r="F93" s="63" t="n">
        <x:v>18.4</x:v>
      </x:c>
      <x:c r="G93" s="63" t="n">
        <x:v>26.9</x:v>
      </x:c>
      <x:c r="H93" s="63" t="n">
        <x:v>74</x:v>
      </x:c>
      <x:c r="I93" s="63" t="n">
        <x:v>82</x:v>
      </x:c>
      <x:c r="J93" s="63" t="n">
        <x:v>88</x:v>
      </x:c>
      <x:c r="K93" s="63" t="n">
        <x:v>76</x:v>
      </x:c>
      <x:c r="L93" s="63" t="n">
        <x:v>23</x:v>
      </x:c>
      <x:c r="M93" s="63" t="n">
        <x:v>15.4</x:v>
      </x:c>
      <x:c r="N93" s="63" t="n">
        <x:v>42.7</x:v>
      </x:c>
      <x:c r="O93" s="63" t="n">
        <x:v>1</x:v>
      </x:c>
      <x:c r="P93" s="42" t="str">
        <x:v>模拟数据/方法演示</x:v>
      </x:c>
    </x:row>
    <x:row r="94">
      <x:c r="A94" s="42" t="str">
        <x:v>哈尔滨-demo</x:v>
      </x:c>
      <x:c r="B94" s="42" t="str">
        <x:v>哈尔滨</x:v>
      </x:c>
      <x:c r="C94" s="42" t="str">
        <x:v>历史正例模板</x:v>
      </x:c>
      <x:c r="D94" s="63" t="n">
        <x:v>-24</x:v>
      </x:c>
      <x:c r="E94" s="63" t="n">
        <x:v>21.4</x:v>
      </x:c>
      <x:c r="F94" s="63" t="n">
        <x:v>17.2</x:v>
      </x:c>
      <x:c r="G94" s="63" t="n">
        <x:v>23.9</x:v>
      </x:c>
      <x:c r="H94" s="63" t="n">
        <x:v>74</x:v>
      </x:c>
      <x:c r="I94" s="63" t="n">
        <x:v>82</x:v>
      </x:c>
      <x:c r="J94" s="63" t="n">
        <x:v>88</x:v>
      </x:c>
      <x:c r="K94" s="63" t="n">
        <x:v>76</x:v>
      </x:c>
      <x:c r="L94" s="63" t="n">
        <x:v>20.2</x:v>
      </x:c>
      <x:c r="M94" s="63" t="n">
        <x:v>17.5</x:v>
      </x:c>
      <x:c r="N94" s="63" t="n">
        <x:v>40.3</x:v>
      </x:c>
      <x:c r="O94" s="63" t="n">
        <x:v>1</x:v>
      </x:c>
      <x:c r="P94" s="42" t="str">
        <x:v>模拟数据/方法演示</x:v>
      </x:c>
    </x:row>
    <x:row r="95">
      <x:c r="A95" s="42" t="str">
        <x:v>哈尔滨-demo</x:v>
      </x:c>
      <x:c r="B95" s="42" t="str">
        <x:v>哈尔滨</x:v>
      </x:c>
      <x:c r="C95" s="42" t="str">
        <x:v>历史正例模板</x:v>
      </x:c>
      <x:c r="D95" s="63" t="n">
        <x:v>-23</x:v>
      </x:c>
      <x:c r="E95" s="63" t="n">
        <x:v>24.4</x:v>
      </x:c>
      <x:c r="F95" s="63" t="n">
        <x:v>17.3</x:v>
      </x:c>
      <x:c r="G95" s="63" t="n">
        <x:v>27.9</x:v>
      </x:c>
      <x:c r="H95" s="63" t="n">
        <x:v>74</x:v>
      </x:c>
      <x:c r="I95" s="63" t="n">
        <x:v>82</x:v>
      </x:c>
      <x:c r="J95" s="63" t="n">
        <x:v>88</x:v>
      </x:c>
      <x:c r="K95" s="63" t="n">
        <x:v>76</x:v>
      </x:c>
      <x:c r="L95" s="63" t="n">
        <x:v>23.1</x:v>
      </x:c>
      <x:c r="M95" s="63" t="n">
        <x:v>16.3</x:v>
      </x:c>
      <x:c r="N95" s="63" t="n">
        <x:v>41.9</x:v>
      </x:c>
      <x:c r="O95" s="63" t="n">
        <x:v>1</x:v>
      </x:c>
      <x:c r="P95" s="42" t="str">
        <x:v>模拟数据/方法演示</x:v>
      </x:c>
    </x:row>
    <x:row r="96">
      <x:c r="A96" s="42" t="str">
        <x:v>哈尔滨-demo</x:v>
      </x:c>
      <x:c r="B96" s="42" t="str">
        <x:v>哈尔滨</x:v>
      </x:c>
      <x:c r="C96" s="42" t="str">
        <x:v>历史正例模板</x:v>
      </x:c>
      <x:c r="D96" s="63" t="n">
        <x:v>-22</x:v>
      </x:c>
      <x:c r="E96" s="63" t="n">
        <x:v>25.6</x:v>
      </x:c>
      <x:c r="F96" s="63" t="n">
        <x:v>18.7</x:v>
      </x:c>
      <x:c r="G96" s="63" t="n">
        <x:v>29</x:v>
      </x:c>
      <x:c r="H96" s="63" t="n">
        <x:v>74</x:v>
      </x:c>
      <x:c r="I96" s="63" t="n">
        <x:v>82</x:v>
      </x:c>
      <x:c r="J96" s="63" t="n">
        <x:v>88</x:v>
      </x:c>
      <x:c r="K96" s="63" t="n">
        <x:v>76</x:v>
      </x:c>
      <x:c r="L96" s="63" t="n">
        <x:v>22.9</x:v>
      </x:c>
      <x:c r="M96" s="63" t="n">
        <x:v>17.6</x:v>
      </x:c>
      <x:c r="N96" s="63" t="n">
        <x:v>42.3</x:v>
      </x:c>
      <x:c r="O96" s="63" t="n">
        <x:v>1</x:v>
      </x:c>
      <x:c r="P96" s="42" t="str">
        <x:v>模拟数据/方法演示</x:v>
      </x:c>
    </x:row>
    <x:row r="97">
      <x:c r="A97" s="42" t="str">
        <x:v>哈尔滨-demo</x:v>
      </x:c>
      <x:c r="B97" s="42" t="str">
        <x:v>哈尔滨</x:v>
      </x:c>
      <x:c r="C97" s="42" t="str">
        <x:v>历史正例模板</x:v>
      </x:c>
      <x:c r="D97" s="63" t="n">
        <x:v>-21</x:v>
      </x:c>
      <x:c r="E97" s="63" t="n">
        <x:v>25.1</x:v>
      </x:c>
      <x:c r="F97" s="63" t="n">
        <x:v>22.7</x:v>
      </x:c>
      <x:c r="G97" s="63" t="n">
        <x:v>25.7</x:v>
      </x:c>
      <x:c r="H97" s="63" t="n">
        <x:v>74</x:v>
      </x:c>
      <x:c r="I97" s="63" t="n">
        <x:v>82</x:v>
      </x:c>
      <x:c r="J97" s="63" t="n">
        <x:v>88</x:v>
      </x:c>
      <x:c r="K97" s="63" t="n">
        <x:v>76</x:v>
      </x:c>
      <x:c r="L97" s="63" t="n">
        <x:v>24.2</x:v>
      </x:c>
      <x:c r="M97" s="63" t="n">
        <x:v>17.3</x:v>
      </x:c>
      <x:c r="N97" s="63" t="n">
        <x:v>42.7</x:v>
      </x:c>
      <x:c r="O97" s="63" t="n">
        <x:v>1</x:v>
      </x:c>
      <x:c r="P97" s="42" t="str">
        <x:v>模拟数据/方法演示</x:v>
      </x:c>
    </x:row>
    <x:row r="98">
      <x:c r="A98" s="42" t="str">
        <x:v>哈尔滨-demo</x:v>
      </x:c>
      <x:c r="B98" s="42" t="str">
        <x:v>哈尔滨</x:v>
      </x:c>
      <x:c r="C98" s="42" t="str">
        <x:v>历史正例模板</x:v>
      </x:c>
      <x:c r="D98" s="63" t="n">
        <x:v>-20</x:v>
      </x:c>
      <x:c r="E98" s="63" t="n">
        <x:v>27.3</x:v>
      </x:c>
      <x:c r="F98" s="63" t="n">
        <x:v>23.9</x:v>
      </x:c>
      <x:c r="G98" s="63" t="n">
        <x:v>23.3</x:v>
      </x:c>
      <x:c r="H98" s="63" t="n">
        <x:v>74</x:v>
      </x:c>
      <x:c r="I98" s="63" t="n">
        <x:v>82</x:v>
      </x:c>
      <x:c r="J98" s="63" t="n">
        <x:v>88</x:v>
      </x:c>
      <x:c r="K98" s="63" t="n">
        <x:v>76</x:v>
      </x:c>
      <x:c r="L98" s="63" t="n">
        <x:v>27.3</x:v>
      </x:c>
      <x:c r="M98" s="63" t="n">
        <x:v>18.1</x:v>
      </x:c>
      <x:c r="N98" s="63" t="n">
        <x:v>43.3</x:v>
      </x:c>
      <x:c r="O98" s="63" t="n">
        <x:v>1</x:v>
      </x:c>
      <x:c r="P98" s="42" t="str">
        <x:v>模拟数据/方法演示</x:v>
      </x:c>
    </x:row>
    <x:row r="99">
      <x:c r="A99" s="42" t="str">
        <x:v>哈尔滨-demo</x:v>
      </x:c>
      <x:c r="B99" s="42" t="str">
        <x:v>哈尔滨</x:v>
      </x:c>
      <x:c r="C99" s="42" t="str">
        <x:v>历史正例模板</x:v>
      </x:c>
      <x:c r="D99" s="63" t="n">
        <x:v>-19</x:v>
      </x:c>
      <x:c r="E99" s="63" t="n">
        <x:v>31</x:v>
      </x:c>
      <x:c r="F99" s="63" t="n">
        <x:v>24.7</x:v>
      </x:c>
      <x:c r="G99" s="63" t="n">
        <x:v>32</x:v>
      </x:c>
      <x:c r="H99" s="63" t="n">
        <x:v>74</x:v>
      </x:c>
      <x:c r="I99" s="63" t="n">
        <x:v>82</x:v>
      </x:c>
      <x:c r="J99" s="63" t="n">
        <x:v>88</x:v>
      </x:c>
      <x:c r="K99" s="63" t="n">
        <x:v>76</x:v>
      </x:c>
      <x:c r="L99" s="63" t="n">
        <x:v>27.5</x:v>
      </x:c>
      <x:c r="M99" s="63" t="n">
        <x:v>18</x:v>
      </x:c>
      <x:c r="N99" s="63" t="n">
        <x:v>45.4</x:v>
      </x:c>
      <x:c r="O99" s="63" t="n">
        <x:v>1</x:v>
      </x:c>
      <x:c r="P99" s="42" t="str">
        <x:v>模拟数据/方法演示</x:v>
      </x:c>
    </x:row>
    <x:row r="100">
      <x:c r="A100" s="42" t="str">
        <x:v>哈尔滨-demo</x:v>
      </x:c>
      <x:c r="B100" s="42" t="str">
        <x:v>哈尔滨</x:v>
      </x:c>
      <x:c r="C100" s="42" t="str">
        <x:v>历史正例模板</x:v>
      </x:c>
      <x:c r="D100" s="63" t="n">
        <x:v>-18</x:v>
      </x:c>
      <x:c r="E100" s="63" t="n">
        <x:v>31.4</x:v>
      </x:c>
      <x:c r="F100" s="63" t="n">
        <x:v>23.6</x:v>
      </x:c>
      <x:c r="G100" s="63" t="n">
        <x:v>28.8</x:v>
      </x:c>
      <x:c r="H100" s="63" t="n">
        <x:v>74</x:v>
      </x:c>
      <x:c r="I100" s="63" t="n">
        <x:v>82</x:v>
      </x:c>
      <x:c r="J100" s="63" t="n">
        <x:v>88</x:v>
      </x:c>
      <x:c r="K100" s="63" t="n">
        <x:v>76</x:v>
      </x:c>
      <x:c r="L100" s="63" t="n">
        <x:v>31.2</x:v>
      </x:c>
      <x:c r="M100" s="63" t="n">
        <x:v>17.6</x:v>
      </x:c>
      <x:c r="N100" s="63" t="n">
        <x:v>45.3</x:v>
      </x:c>
      <x:c r="O100" s="63" t="n">
        <x:v>1</x:v>
      </x:c>
      <x:c r="P100" s="42" t="str">
        <x:v>模拟数据/方法演示</x:v>
      </x:c>
    </x:row>
    <x:row r="101">
      <x:c r="A101" s="42" t="str">
        <x:v>哈尔滨-demo</x:v>
      </x:c>
      <x:c r="B101" s="42" t="str">
        <x:v>哈尔滨</x:v>
      </x:c>
      <x:c r="C101" s="42" t="str">
        <x:v>历史正例模板</x:v>
      </x:c>
      <x:c r="D101" s="63" t="n">
        <x:v>-17</x:v>
      </x:c>
      <x:c r="E101" s="63" t="n">
        <x:v>41.3</x:v>
      </x:c>
      <x:c r="F101" s="63" t="n">
        <x:v>29</x:v>
      </x:c>
      <x:c r="G101" s="63" t="n">
        <x:v>27</x:v>
      </x:c>
      <x:c r="H101" s="63" t="n">
        <x:v>74</x:v>
      </x:c>
      <x:c r="I101" s="63" t="n">
        <x:v>82</x:v>
      </x:c>
      <x:c r="J101" s="63" t="n">
        <x:v>88</x:v>
      </x:c>
      <x:c r="K101" s="63" t="n">
        <x:v>76</x:v>
      </x:c>
      <x:c r="L101" s="63" t="n">
        <x:v>28.7</x:v>
      </x:c>
      <x:c r="M101" s="63" t="n">
        <x:v>19.8</x:v>
      </x:c>
      <x:c r="N101" s="63" t="n">
        <x:v>47.6</x:v>
      </x:c>
      <x:c r="O101" s="63" t="n">
        <x:v>1</x:v>
      </x:c>
      <x:c r="P101" s="42" t="str">
        <x:v>模拟数据/方法演示</x:v>
      </x:c>
    </x:row>
    <x:row r="102">
      <x:c r="A102" s="42" t="str">
        <x:v>哈尔滨-demo</x:v>
      </x:c>
      <x:c r="B102" s="42" t="str">
        <x:v>哈尔滨</x:v>
      </x:c>
      <x:c r="C102" s="42" t="str">
        <x:v>历史正例模板</x:v>
      </x:c>
      <x:c r="D102" s="63" t="n">
        <x:v>-16</x:v>
      </x:c>
      <x:c r="E102" s="63" t="n">
        <x:v>43.5</x:v>
      </x:c>
      <x:c r="F102" s="63" t="n">
        <x:v>32.4</x:v>
      </x:c>
      <x:c r="G102" s="63" t="n">
        <x:v>27.8</x:v>
      </x:c>
      <x:c r="H102" s="63" t="n">
        <x:v>74</x:v>
      </x:c>
      <x:c r="I102" s="63" t="n">
        <x:v>82</x:v>
      </x:c>
      <x:c r="J102" s="63" t="n">
        <x:v>88</x:v>
      </x:c>
      <x:c r="K102" s="63" t="n">
        <x:v>76</x:v>
      </x:c>
      <x:c r="L102" s="63" t="n">
        <x:v>33.3</x:v>
      </x:c>
      <x:c r="M102" s="63" t="n">
        <x:v>21</x:v>
      </x:c>
      <x:c r="N102" s="63" t="n">
        <x:v>49.1</x:v>
      </x:c>
      <x:c r="O102" s="63" t="n">
        <x:v>1</x:v>
      </x:c>
      <x:c r="P102" s="42" t="str">
        <x:v>模拟数据/方法演示</x:v>
      </x:c>
    </x:row>
    <x:row r="103">
      <x:c r="A103" s="42" t="str">
        <x:v>哈尔滨-demo</x:v>
      </x:c>
      <x:c r="B103" s="42" t="str">
        <x:v>哈尔滨</x:v>
      </x:c>
      <x:c r="C103" s="42" t="str">
        <x:v>历史正例模板</x:v>
      </x:c>
      <x:c r="D103" s="63" t="n">
        <x:v>-15</x:v>
      </x:c>
      <x:c r="E103" s="63" t="n">
        <x:v>51.4</x:v>
      </x:c>
      <x:c r="F103" s="63" t="n">
        <x:v>36.1</x:v>
      </x:c>
      <x:c r="G103" s="63" t="n">
        <x:v>27.7</x:v>
      </x:c>
      <x:c r="H103" s="63" t="n">
        <x:v>74</x:v>
      </x:c>
      <x:c r="I103" s="63" t="n">
        <x:v>82</x:v>
      </x:c>
      <x:c r="J103" s="63" t="n">
        <x:v>88</x:v>
      </x:c>
      <x:c r="K103" s="63" t="n">
        <x:v>76</x:v>
      </x:c>
      <x:c r="L103" s="63" t="n">
        <x:v>35.1</x:v>
      </x:c>
      <x:c r="M103" s="63" t="n">
        <x:v>19.9</x:v>
      </x:c>
      <x:c r="N103" s="63" t="n">
        <x:v>51.9</x:v>
      </x:c>
      <x:c r="O103" s="63" t="n">
        <x:v>1</x:v>
      </x:c>
      <x:c r="P103" s="42" t="str">
        <x:v>模拟数据/方法演示</x:v>
      </x:c>
    </x:row>
    <x:row r="104">
      <x:c r="A104" s="42" t="str">
        <x:v>哈尔滨-demo</x:v>
      </x:c>
      <x:c r="B104" s="42" t="str">
        <x:v>哈尔滨</x:v>
      </x:c>
      <x:c r="C104" s="42" t="str">
        <x:v>历史正例模板</x:v>
      </x:c>
      <x:c r="D104" s="63" t="n">
        <x:v>-14</x:v>
      </x:c>
      <x:c r="E104" s="63" t="n">
        <x:v>54.4</x:v>
      </x:c>
      <x:c r="F104" s="63" t="n">
        <x:v>39.5</x:v>
      </x:c>
      <x:c r="G104" s="63" t="n">
        <x:v>28.7</x:v>
      </x:c>
      <x:c r="H104" s="63" t="n">
        <x:v>74</x:v>
      </x:c>
      <x:c r="I104" s="63" t="n">
        <x:v>82</x:v>
      </x:c>
      <x:c r="J104" s="63" t="n">
        <x:v>88</x:v>
      </x:c>
      <x:c r="K104" s="63" t="n">
        <x:v>76</x:v>
      </x:c>
      <x:c r="L104" s="63" t="n">
        <x:v>39.2</x:v>
      </x:c>
      <x:c r="M104" s="63" t="n">
        <x:v>18.6</x:v>
      </x:c>
      <x:c r="N104" s="63" t="n">
        <x:v>53.9</x:v>
      </x:c>
      <x:c r="O104" s="63" t="n">
        <x:v>1</x:v>
      </x:c>
      <x:c r="P104" s="42" t="str">
        <x:v>模拟数据/方法演示</x:v>
      </x:c>
    </x:row>
    <x:row r="105">
      <x:c r="A105" s="42" t="str">
        <x:v>哈尔滨-demo</x:v>
      </x:c>
      <x:c r="B105" s="42" t="str">
        <x:v>哈尔滨</x:v>
      </x:c>
      <x:c r="C105" s="42" t="str">
        <x:v>历史正例模板</x:v>
      </x:c>
      <x:c r="D105" s="63" t="n">
        <x:v>-13</x:v>
      </x:c>
      <x:c r="E105" s="63" t="n">
        <x:v>53.1</x:v>
      </x:c>
      <x:c r="F105" s="63" t="n">
        <x:v>41.3</x:v>
      </x:c>
      <x:c r="G105" s="63" t="n">
        <x:v>27.4</x:v>
      </x:c>
      <x:c r="H105" s="63" t="n">
        <x:v>74</x:v>
      </x:c>
      <x:c r="I105" s="63" t="n">
        <x:v>82</x:v>
      </x:c>
      <x:c r="J105" s="63" t="n">
        <x:v>88</x:v>
      </x:c>
      <x:c r="K105" s="63" t="n">
        <x:v>76</x:v>
      </x:c>
      <x:c r="L105" s="63" t="n">
        <x:v>45</x:v>
      </x:c>
      <x:c r="M105" s="63" t="n">
        <x:v>20.7</x:v>
      </x:c>
      <x:c r="N105" s="63" t="n">
        <x:v>54</x:v>
      </x:c>
      <x:c r="O105" s="63" t="n">
        <x:v>1</x:v>
      </x:c>
      <x:c r="P105" s="42" t="str">
        <x:v>模拟数据/方法演示</x:v>
      </x:c>
    </x:row>
    <x:row r="106">
      <x:c r="A106" s="42" t="str">
        <x:v>哈尔滨-demo</x:v>
      </x:c>
      <x:c r="B106" s="42" t="str">
        <x:v>哈尔滨</x:v>
      </x:c>
      <x:c r="C106" s="42" t="str">
        <x:v>历史正例模板</x:v>
      </x:c>
      <x:c r="D106" s="63" t="n">
        <x:v>-12</x:v>
      </x:c>
      <x:c r="E106" s="63" t="n">
        <x:v>62.4</x:v>
      </x:c>
      <x:c r="F106" s="63" t="n">
        <x:v>50.2</x:v>
      </x:c>
      <x:c r="G106" s="63" t="n">
        <x:v>32.4</x:v>
      </x:c>
      <x:c r="H106" s="63" t="n">
        <x:v>74</x:v>
      </x:c>
      <x:c r="I106" s="63" t="n">
        <x:v>82</x:v>
      </x:c>
      <x:c r="J106" s="63" t="n">
        <x:v>88</x:v>
      </x:c>
      <x:c r="K106" s="63" t="n">
        <x:v>76</x:v>
      </x:c>
      <x:c r="L106" s="63" t="n">
        <x:v>47.8</x:v>
      </x:c>
      <x:c r="M106" s="63" t="n">
        <x:v>21.2</x:v>
      </x:c>
      <x:c r="N106" s="63" t="n">
        <x:v>58.5</x:v>
      </x:c>
      <x:c r="O106" s="63" t="n">
        <x:v>1</x:v>
      </x:c>
      <x:c r="P106" s="42" t="str">
        <x:v>模拟数据/方法演示</x:v>
      </x:c>
    </x:row>
    <x:row r="107">
      <x:c r="A107" s="42" t="str">
        <x:v>哈尔滨-demo</x:v>
      </x:c>
      <x:c r="B107" s="42" t="str">
        <x:v>哈尔滨</x:v>
      </x:c>
      <x:c r="C107" s="42" t="str">
        <x:v>历史正例模板</x:v>
      </x:c>
      <x:c r="D107" s="63" t="n">
        <x:v>-11</x:v>
      </x:c>
      <x:c r="E107" s="63" t="n">
        <x:v>66.4</x:v>
      </x:c>
      <x:c r="F107" s="63" t="n">
        <x:v>52.1</x:v>
      </x:c>
      <x:c r="G107" s="63" t="n">
        <x:v>30.3</x:v>
      </x:c>
      <x:c r="H107" s="63" t="n">
        <x:v>74</x:v>
      </x:c>
      <x:c r="I107" s="63" t="n">
        <x:v>82</x:v>
      </x:c>
      <x:c r="J107" s="63" t="n">
        <x:v>88</x:v>
      </x:c>
      <x:c r="K107" s="63" t="n">
        <x:v>76</x:v>
      </x:c>
      <x:c r="L107" s="63" t="n">
        <x:v>55</x:v>
      </x:c>
      <x:c r="M107" s="63" t="n">
        <x:v>22.7</x:v>
      </x:c>
      <x:c r="N107" s="63" t="n">
        <x:v>59.9</x:v>
      </x:c>
      <x:c r="O107" s="63" t="n">
        <x:v>1</x:v>
      </x:c>
      <x:c r="P107" s="42" t="str">
        <x:v>模拟数据/方法演示</x:v>
      </x:c>
    </x:row>
    <x:row r="108">
      <x:c r="A108" s="42" t="str">
        <x:v>哈尔滨-demo</x:v>
      </x:c>
      <x:c r="B108" s="42" t="str">
        <x:v>哈尔滨</x:v>
      </x:c>
      <x:c r="C108" s="42" t="str">
        <x:v>历史正例模板</x:v>
      </x:c>
      <x:c r="D108" s="63" t="n">
        <x:v>-10</x:v>
      </x:c>
      <x:c r="E108" s="63" t="n">
        <x:v>70.6</x:v>
      </x:c>
      <x:c r="F108" s="63" t="n">
        <x:v>58.4</x:v>
      </x:c>
      <x:c r="G108" s="63" t="n">
        <x:v>32.1</x:v>
      </x:c>
      <x:c r="H108" s="63" t="n">
        <x:v>74</x:v>
      </x:c>
      <x:c r="I108" s="63" t="n">
        <x:v>82</x:v>
      </x:c>
      <x:c r="J108" s="63" t="n">
        <x:v>88</x:v>
      </x:c>
      <x:c r="K108" s="63" t="n">
        <x:v>76</x:v>
      </x:c>
      <x:c r="L108" s="63" t="n">
        <x:v>56.2</x:v>
      </x:c>
      <x:c r="M108" s="63" t="n">
        <x:v>26.9</x:v>
      </x:c>
      <x:c r="N108" s="63" t="n">
        <x:v>61.7</x:v>
      </x:c>
      <x:c r="O108" s="63" t="n">
        <x:v>1</x:v>
      </x:c>
      <x:c r="P108" s="42" t="str">
        <x:v>模拟数据/方法演示</x:v>
      </x:c>
    </x:row>
    <x:row r="109">
      <x:c r="A109" s="42" t="str">
        <x:v>哈尔滨-demo</x:v>
      </x:c>
      <x:c r="B109" s="42" t="str">
        <x:v>哈尔滨</x:v>
      </x:c>
      <x:c r="C109" s="42" t="str">
        <x:v>历史正例模板</x:v>
      </x:c>
      <x:c r="D109" s="63" t="n">
        <x:v>-9</x:v>
      </x:c>
      <x:c r="E109" s="63" t="n">
        <x:v>70.5</x:v>
      </x:c>
      <x:c r="F109" s="63" t="n">
        <x:v>61</x:v>
      </x:c>
      <x:c r="G109" s="63" t="n">
        <x:v>34.5</x:v>
      </x:c>
      <x:c r="H109" s="63" t="n">
        <x:v>74</x:v>
      </x:c>
      <x:c r="I109" s="63" t="n">
        <x:v>82</x:v>
      </x:c>
      <x:c r="J109" s="63" t="n">
        <x:v>88</x:v>
      </x:c>
      <x:c r="K109" s="63" t="n">
        <x:v>76</x:v>
      </x:c>
      <x:c r="L109" s="63" t="n">
        <x:v>61.7</x:v>
      </x:c>
      <x:c r="M109" s="63" t="n">
        <x:v>29.4</x:v>
      </x:c>
      <x:c r="N109" s="63" t="n">
        <x:v>62.6</x:v>
      </x:c>
      <x:c r="O109" s="63" t="n">
        <x:v>1</x:v>
      </x:c>
      <x:c r="P109" s="42" t="str">
        <x:v>模拟数据/方法演示</x:v>
      </x:c>
    </x:row>
    <x:row r="110">
      <x:c r="A110" s="42" t="str">
        <x:v>哈尔滨-demo</x:v>
      </x:c>
      <x:c r="B110" s="42" t="str">
        <x:v>哈尔滨</x:v>
      </x:c>
      <x:c r="C110" s="42" t="str">
        <x:v>历史正例模板</x:v>
      </x:c>
      <x:c r="D110" s="63" t="n">
        <x:v>-8</x:v>
      </x:c>
      <x:c r="E110" s="63" t="n">
        <x:v>74.8</x:v>
      </x:c>
      <x:c r="F110" s="63" t="n">
        <x:v>60.4</x:v>
      </x:c>
      <x:c r="G110" s="63" t="n">
        <x:v>35.3</x:v>
      </x:c>
      <x:c r="H110" s="63" t="n">
        <x:v>74</x:v>
      </x:c>
      <x:c r="I110" s="63" t="n">
        <x:v>82</x:v>
      </x:c>
      <x:c r="J110" s="63" t="n">
        <x:v>88</x:v>
      </x:c>
      <x:c r="K110" s="63" t="n">
        <x:v>76</x:v>
      </x:c>
      <x:c r="L110" s="63" t="n">
        <x:v>65.4</x:v>
      </x:c>
      <x:c r="M110" s="63" t="n">
        <x:v>30.9</x:v>
      </x:c>
      <x:c r="N110" s="63" t="n">
        <x:v>63.7</x:v>
      </x:c>
      <x:c r="O110" s="63" t="n">
        <x:v>1</x:v>
      </x:c>
      <x:c r="P110" s="42" t="str">
        <x:v>模拟数据/方法演示</x:v>
      </x:c>
    </x:row>
    <x:row r="111">
      <x:c r="A111" s="42" t="str">
        <x:v>哈尔滨-demo</x:v>
      </x:c>
      <x:c r="B111" s="42" t="str">
        <x:v>哈尔滨</x:v>
      </x:c>
      <x:c r="C111" s="42" t="str">
        <x:v>历史正例模板</x:v>
      </x:c>
      <x:c r="D111" s="63" t="n">
        <x:v>-7</x:v>
      </x:c>
      <x:c r="E111" s="63" t="n">
        <x:v>74.8</x:v>
      </x:c>
      <x:c r="F111" s="63" t="n">
        <x:v>68.2</x:v>
      </x:c>
      <x:c r="G111" s="63" t="n">
        <x:v>43.1</x:v>
      </x:c>
      <x:c r="H111" s="63" t="n">
        <x:v>74</x:v>
      </x:c>
      <x:c r="I111" s="63" t="n">
        <x:v>82</x:v>
      </x:c>
      <x:c r="J111" s="63" t="n">
        <x:v>88</x:v>
      </x:c>
      <x:c r="K111" s="63" t="n">
        <x:v>76</x:v>
      </x:c>
      <x:c r="L111" s="63" t="n">
        <x:v>67.1</x:v>
      </x:c>
      <x:c r="M111" s="63" t="n">
        <x:v>31.7</x:v>
      </x:c>
      <x:c r="N111" s="63" t="n">
        <x:v>66.1</x:v>
      </x:c>
      <x:c r="O111" s="63" t="n">
        <x:v>1</x:v>
      </x:c>
      <x:c r="P111" s="42" t="str">
        <x:v>模拟数据/方法演示</x:v>
      </x:c>
    </x:row>
    <x:row r="112">
      <x:c r="A112" s="42" t="str">
        <x:v>哈尔滨-demo</x:v>
      </x:c>
      <x:c r="B112" s="42" t="str">
        <x:v>哈尔滨</x:v>
      </x:c>
      <x:c r="C112" s="42" t="str">
        <x:v>历史正例模板</x:v>
      </x:c>
      <x:c r="D112" s="63" t="n">
        <x:v>-6</x:v>
      </x:c>
      <x:c r="E112" s="63" t="n">
        <x:v>75.2</x:v>
      </x:c>
      <x:c r="F112" s="63" t="n">
        <x:v>69.7</x:v>
      </x:c>
      <x:c r="G112" s="63" t="n">
        <x:v>43.1</x:v>
      </x:c>
      <x:c r="H112" s="63" t="n">
        <x:v>74</x:v>
      </x:c>
      <x:c r="I112" s="63" t="n">
        <x:v>82</x:v>
      </x:c>
      <x:c r="J112" s="63" t="n">
        <x:v>88</x:v>
      </x:c>
      <x:c r="K112" s="63" t="n">
        <x:v>76</x:v>
      </x:c>
      <x:c r="L112" s="63" t="n">
        <x:v>61.1</x:v>
      </x:c>
      <x:c r="M112" s="63" t="n">
        <x:v>34</x:v>
      </x:c>
      <x:c r="N112" s="63" t="n">
        <x:v>65.5</x:v>
      </x:c>
      <x:c r="O112" s="63" t="n">
        <x:v>1</x:v>
      </x:c>
      <x:c r="P112" s="42" t="str">
        <x:v>模拟数据/方法演示</x:v>
      </x:c>
    </x:row>
    <x:row r="113">
      <x:c r="A113" s="42" t="str">
        <x:v>哈尔滨-demo</x:v>
      </x:c>
      <x:c r="B113" s="42" t="str">
        <x:v>哈尔滨</x:v>
      </x:c>
      <x:c r="C113" s="42" t="str">
        <x:v>历史正例模板</x:v>
      </x:c>
      <x:c r="D113" s="63" t="n">
        <x:v>-5</x:v>
      </x:c>
      <x:c r="E113" s="63" t="n">
        <x:v>75.9</x:v>
      </x:c>
      <x:c r="F113" s="63" t="n">
        <x:v>72.2</x:v>
      </x:c>
      <x:c r="G113" s="63" t="n">
        <x:v>54.2</x:v>
      </x:c>
      <x:c r="H113" s="63" t="n">
        <x:v>74</x:v>
      </x:c>
      <x:c r="I113" s="63" t="n">
        <x:v>82</x:v>
      </x:c>
      <x:c r="J113" s="63" t="n">
        <x:v>88</x:v>
      </x:c>
      <x:c r="K113" s="63" t="n">
        <x:v>76</x:v>
      </x:c>
      <x:c r="L113" s="63" t="n">
        <x:v>71.8</x:v>
      </x:c>
      <x:c r="M113" s="63" t="n">
        <x:v>32.7</x:v>
      </x:c>
      <x:c r="N113" s="63" t="n">
        <x:v>68.7</x:v>
      </x:c>
      <x:c r="O113" s="63" t="n">
        <x:v>1</x:v>
      </x:c>
      <x:c r="P113" s="42" t="str">
        <x:v>模拟数据/方法演示</x:v>
      </x:c>
    </x:row>
    <x:row r="114">
      <x:c r="A114" s="42" t="str">
        <x:v>哈尔滨-demo</x:v>
      </x:c>
      <x:c r="B114" s="42" t="str">
        <x:v>哈尔滨</x:v>
      </x:c>
      <x:c r="C114" s="42" t="str">
        <x:v>历史正例模板</x:v>
      </x:c>
      <x:c r="D114" s="63" t="n">
        <x:v>-4</x:v>
      </x:c>
      <x:c r="E114" s="63" t="n">
        <x:v>76</x:v>
      </x:c>
      <x:c r="F114" s="63" t="n">
        <x:v>68.5</x:v>
      </x:c>
      <x:c r="G114" s="63" t="n">
        <x:v>58.7</x:v>
      </x:c>
      <x:c r="H114" s="63" t="n">
        <x:v>74</x:v>
      </x:c>
      <x:c r="I114" s="63" t="n">
        <x:v>82</x:v>
      </x:c>
      <x:c r="J114" s="63" t="n">
        <x:v>88</x:v>
      </x:c>
      <x:c r="K114" s="63" t="n">
        <x:v>76</x:v>
      </x:c>
      <x:c r="L114" s="63" t="n">
        <x:v>67.1</x:v>
      </x:c>
      <x:c r="M114" s="63" t="n">
        <x:v>38.7</x:v>
      </x:c>
      <x:c r="N114" s="63" t="n">
        <x:v>67.2</x:v>
      </x:c>
      <x:c r="O114" s="63" t="n">
        <x:v>1</x:v>
      </x:c>
      <x:c r="P114" s="42" t="str">
        <x:v>模拟数据/方法演示</x:v>
      </x:c>
    </x:row>
    <x:row r="115">
      <x:c r="A115" s="42" t="str">
        <x:v>哈尔滨-demo</x:v>
      </x:c>
      <x:c r="B115" s="42" t="str">
        <x:v>哈尔滨</x:v>
      </x:c>
      <x:c r="C115" s="42" t="str">
        <x:v>历史正例模板</x:v>
      </x:c>
      <x:c r="D115" s="63" t="n">
        <x:v>-3</x:v>
      </x:c>
      <x:c r="E115" s="63" t="n">
        <x:v>77.9</x:v>
      </x:c>
      <x:c r="F115" s="63" t="n">
        <x:v>73.4</x:v>
      </x:c>
      <x:c r="G115" s="63" t="n">
        <x:v>65.4</x:v>
      </x:c>
      <x:c r="H115" s="63" t="n">
        <x:v>74</x:v>
      </x:c>
      <x:c r="I115" s="63" t="n">
        <x:v>82</x:v>
      </x:c>
      <x:c r="J115" s="63" t="n">
        <x:v>88</x:v>
      </x:c>
      <x:c r="K115" s="63" t="n">
        <x:v>76</x:v>
      </x:c>
      <x:c r="L115" s="63" t="n">
        <x:v>71.1</x:v>
      </x:c>
      <x:c r="M115" s="63" t="n">
        <x:v>40.6</x:v>
      </x:c>
      <x:c r="N115" s="63" t="n">
        <x:v>69.4</x:v>
      </x:c>
      <x:c r="O115" s="63" t="n">
        <x:v>1</x:v>
      </x:c>
      <x:c r="P115" s="42" t="str">
        <x:v>模拟数据/方法演示</x:v>
      </x:c>
    </x:row>
    <x:row r="116">
      <x:c r="A116" s="42" t="str">
        <x:v>哈尔滨-demo</x:v>
      </x:c>
      <x:c r="B116" s="42" t="str">
        <x:v>哈尔滨</x:v>
      </x:c>
      <x:c r="C116" s="42" t="str">
        <x:v>历史正例模板</x:v>
      </x:c>
      <x:c r="D116" s="63" t="n">
        <x:v>-2</x:v>
      </x:c>
      <x:c r="E116" s="63" t="n">
        <x:v>77.6</x:v>
      </x:c>
      <x:c r="F116" s="63" t="n">
        <x:v>73.5</x:v>
      </x:c>
      <x:c r="G116" s="63" t="n">
        <x:v>71.2</x:v>
      </x:c>
      <x:c r="H116" s="63" t="n">
        <x:v>74</x:v>
      </x:c>
      <x:c r="I116" s="63" t="n">
        <x:v>82</x:v>
      </x:c>
      <x:c r="J116" s="63" t="n">
        <x:v>88</x:v>
      </x:c>
      <x:c r="K116" s="63" t="n">
        <x:v>76</x:v>
      </x:c>
      <x:c r="L116" s="63" t="n">
        <x:v>70.1</x:v>
      </x:c>
      <x:c r="M116" s="63" t="n">
        <x:v>41</x:v>
      </x:c>
      <x:c r="N116" s="63" t="n">
        <x:v>69.9</x:v>
      </x:c>
      <x:c r="O116" s="63" t="n">
        <x:v>1</x:v>
      </x:c>
      <x:c r="P116" s="42" t="str">
        <x:v>模拟数据/方法演示</x:v>
      </x:c>
    </x:row>
    <x:row r="117">
      <x:c r="A117" s="42" t="str">
        <x:v>哈尔滨-demo</x:v>
      </x:c>
      <x:c r="B117" s="42" t="str">
        <x:v>哈尔滨</x:v>
      </x:c>
      <x:c r="C117" s="42" t="str">
        <x:v>历史正例模板</x:v>
      </x:c>
      <x:c r="D117" s="63" t="n">
        <x:v>-1</x:v>
      </x:c>
      <x:c r="E117" s="63" t="n">
        <x:v>77.9</x:v>
      </x:c>
      <x:c r="F117" s="63" t="n">
        <x:v>70.8</x:v>
      </x:c>
      <x:c r="G117" s="63" t="n">
        <x:v>70.8</x:v>
      </x:c>
      <x:c r="H117" s="63" t="n">
        <x:v>74</x:v>
      </x:c>
      <x:c r="I117" s="63" t="n">
        <x:v>82</x:v>
      </x:c>
      <x:c r="J117" s="63" t="n">
        <x:v>88</x:v>
      </x:c>
      <x:c r="K117" s="63" t="n">
        <x:v>76</x:v>
      </x:c>
      <x:c r="L117" s="63" t="n">
        <x:v>74.3</x:v>
      </x:c>
      <x:c r="M117" s="63" t="n">
        <x:v>44.7</x:v>
      </x:c>
      <x:c r="N117" s="63" t="n">
        <x:v>69.3</x:v>
      </x:c>
      <x:c r="O117" s="63" t="n">
        <x:v>1</x:v>
      </x:c>
      <x:c r="P117" s="42" t="str">
        <x:v>模拟数据/方法演示</x:v>
      </x:c>
    </x:row>
    <x:row r="118">
      <x:c r="A118" s="42" t="str">
        <x:v>哈尔滨-demo</x:v>
      </x:c>
      <x:c r="B118" s="42" t="str">
        <x:v>哈尔滨</x:v>
      </x:c>
      <x:c r="C118" s="42" t="str">
        <x:v>历史正例模板</x:v>
      </x:c>
      <x:c r="D118" s="63" t="n">
        <x:v>0</x:v>
      </x:c>
      <x:c r="E118" s="63" t="n">
        <x:v>82.2</x:v>
      </x:c>
      <x:c r="F118" s="63" t="n">
        <x:v>71</x:v>
      </x:c>
      <x:c r="G118" s="63" t="n">
        <x:v>77.2</x:v>
      </x:c>
      <x:c r="H118" s="63" t="n">
        <x:v>74</x:v>
      </x:c>
      <x:c r="I118" s="63" t="n">
        <x:v>82</x:v>
      </x:c>
      <x:c r="J118" s="63" t="n">
        <x:v>88</x:v>
      </x:c>
      <x:c r="K118" s="63" t="n">
        <x:v>76</x:v>
      </x:c>
      <x:c r="L118" s="63" t="n">
        <x:v>73.4</x:v>
      </x:c>
      <x:c r="M118" s="63" t="n">
        <x:v>37.8</x:v>
      </x:c>
      <x:c r="N118" s="63" t="n">
        <x:v>72</x:v>
      </x:c>
      <x:c r="O118" s="63" t="n">
        <x:v>1</x:v>
      </x:c>
      <x:c r="P118" s="42" t="str">
        <x:v>模拟数据/方法演示</x:v>
      </x:c>
    </x:row>
    <x:row r="119">
      <x:c r="A119" s="42" t="str">
        <x:v>哈尔滨-demo</x:v>
      </x:c>
      <x:c r="B119" s="42" t="str">
        <x:v>哈尔滨</x:v>
      </x:c>
      <x:c r="C119" s="42" t="str">
        <x:v>历史正例模板</x:v>
      </x:c>
      <x:c r="D119" s="63" t="n">
        <x:v>1</x:v>
      </x:c>
      <x:c r="E119" s="63" t="n">
        <x:v>79.3</x:v>
      </x:c>
      <x:c r="F119" s="63" t="n">
        <x:v>76.9</x:v>
      </x:c>
      <x:c r="G119" s="63" t="n">
        <x:v>75.9</x:v>
      </x:c>
      <x:c r="H119" s="63" t="n">
        <x:v>74</x:v>
      </x:c>
      <x:c r="I119" s="63" t="n">
        <x:v>82</x:v>
      </x:c>
      <x:c r="J119" s="63" t="n">
        <x:v>88</x:v>
      </x:c>
      <x:c r="K119" s="63" t="n">
        <x:v>76</x:v>
      </x:c>
      <x:c r="L119" s="63" t="n">
        <x:v>74</x:v>
      </x:c>
      <x:c r="M119" s="63" t="n">
        <x:v>41.9</x:v>
      </x:c>
      <x:c r="N119" s="63" t="n">
        <x:v>71.7</x:v>
      </x:c>
      <x:c r="O119" s="63" t="n">
        <x:v>1</x:v>
      </x:c>
      <x:c r="P119" s="42" t="str">
        <x:v>模拟数据/方法演示</x:v>
      </x:c>
    </x:row>
    <x:row r="120">
      <x:c r="A120" s="42" t="str">
        <x:v>哈尔滨-demo</x:v>
      </x:c>
      <x:c r="B120" s="42" t="str">
        <x:v>哈尔滨</x:v>
      </x:c>
      <x:c r="C120" s="42" t="str">
        <x:v>历史正例模板</x:v>
      </x:c>
      <x:c r="D120" s="63" t="n">
        <x:v>2</x:v>
      </x:c>
      <x:c r="E120" s="63" t="n">
        <x:v>79.9</x:v>
      </x:c>
      <x:c r="F120" s="63" t="n">
        <x:v>73.9</x:v>
      </x:c>
      <x:c r="G120" s="63" t="n">
        <x:v>75.7</x:v>
      </x:c>
      <x:c r="H120" s="63" t="n">
        <x:v>74</x:v>
      </x:c>
      <x:c r="I120" s="63" t="n">
        <x:v>82</x:v>
      </x:c>
      <x:c r="J120" s="63" t="n">
        <x:v>88</x:v>
      </x:c>
      <x:c r="K120" s="63" t="n">
        <x:v>76</x:v>
      </x:c>
      <x:c r="L120" s="63" t="n">
        <x:v>73.4</x:v>
      </x:c>
      <x:c r="M120" s="63" t="n">
        <x:v>41.5</x:v>
      </x:c>
      <x:c r="N120" s="63" t="n">
        <x:v>71.3</x:v>
      </x:c>
      <x:c r="O120" s="63" t="n">
        <x:v>1</x:v>
      </x:c>
      <x:c r="P120" s="42" t="str">
        <x:v>模拟数据/方法演示</x:v>
      </x:c>
    </x:row>
    <x:row r="121">
      <x:c r="A121" s="42" t="str">
        <x:v>哈尔滨-demo</x:v>
      </x:c>
      <x:c r="B121" s="42" t="str">
        <x:v>哈尔滨</x:v>
      </x:c>
      <x:c r="C121" s="42" t="str">
        <x:v>历史正例模板</x:v>
      </x:c>
      <x:c r="D121" s="63" t="n">
        <x:v>3</x:v>
      </x:c>
      <x:c r="E121" s="63" t="n">
        <x:v>84.9</x:v>
      </x:c>
      <x:c r="F121" s="63" t="n">
        <x:v>71.1</x:v>
      </x:c>
      <x:c r="G121" s="63" t="n">
        <x:v>76.4</x:v>
      </x:c>
      <x:c r="H121" s="63" t="n">
        <x:v>74</x:v>
      </x:c>
      <x:c r="I121" s="63" t="n">
        <x:v>82</x:v>
      </x:c>
      <x:c r="J121" s="63" t="n">
        <x:v>88</x:v>
      </x:c>
      <x:c r="K121" s="63" t="n">
        <x:v>76</x:v>
      </x:c>
      <x:c r="L121" s="63" t="n">
        <x:v>81</x:v>
      </x:c>
      <x:c r="M121" s="63" t="n">
        <x:v>41.7</x:v>
      </x:c>
      <x:c r="N121" s="63" t="n">
        <x:v>72.7</x:v>
      </x:c>
      <x:c r="O121" s="63" t="n">
        <x:v>1</x:v>
      </x:c>
      <x:c r="P121" s="42" t="str">
        <x:v>模拟数据/方法演示</x:v>
      </x:c>
    </x:row>
    <x:row r="122">
      <x:c r="A122" s="42" t="str">
        <x:v>哈尔滨-demo</x:v>
      </x:c>
      <x:c r="B122" s="42" t="str">
        <x:v>哈尔滨</x:v>
      </x:c>
      <x:c r="C122" s="42" t="str">
        <x:v>历史正例模板</x:v>
      </x:c>
      <x:c r="D122" s="63" t="n">
        <x:v>4</x:v>
      </x:c>
      <x:c r="E122" s="63" t="n">
        <x:v>84.2</x:v>
      </x:c>
      <x:c r="F122" s="63" t="n">
        <x:v>74.1</x:v>
      </x:c>
      <x:c r="G122" s="63" t="n">
        <x:v>75.7</x:v>
      </x:c>
      <x:c r="H122" s="63" t="n">
        <x:v>74</x:v>
      </x:c>
      <x:c r="I122" s="63" t="n">
        <x:v>82</x:v>
      </x:c>
      <x:c r="J122" s="63" t="n">
        <x:v>88</x:v>
      </x:c>
      <x:c r="K122" s="63" t="n">
        <x:v>76</x:v>
      </x:c>
      <x:c r="L122" s="63" t="n">
        <x:v>69.3</x:v>
      </x:c>
      <x:c r="M122" s="63" t="n">
        <x:v>42.5</x:v>
      </x:c>
      <x:c r="N122" s="63" t="n">
        <x:v>71.7</x:v>
      </x:c>
      <x:c r="O122" s="63" t="n">
        <x:v>1</x:v>
      </x:c>
      <x:c r="P122" s="42" t="str">
        <x:v>模拟数据/方法演示</x:v>
      </x:c>
    </x:row>
    <x:row r="123">
      <x:c r="A123" s="42" t="str">
        <x:v>哈尔滨-demo</x:v>
      </x:c>
      <x:c r="B123" s="42" t="str">
        <x:v>哈尔滨</x:v>
      </x:c>
      <x:c r="C123" s="42" t="str">
        <x:v>历史正例模板</x:v>
      </x:c>
      <x:c r="D123" s="63" t="n">
        <x:v>5</x:v>
      </x:c>
      <x:c r="E123" s="63" t="n">
        <x:v>81.7</x:v>
      </x:c>
      <x:c r="F123" s="63" t="n">
        <x:v>73.3</x:v>
      </x:c>
      <x:c r="G123" s="63" t="n">
        <x:v>75.8</x:v>
      </x:c>
      <x:c r="H123" s="63" t="n">
        <x:v>74</x:v>
      </x:c>
      <x:c r="I123" s="63" t="n">
        <x:v>82</x:v>
      </x:c>
      <x:c r="J123" s="63" t="n">
        <x:v>88</x:v>
      </x:c>
      <x:c r="K123" s="63" t="n">
        <x:v>76</x:v>
      </x:c>
      <x:c r="L123" s="63" t="n">
        <x:v>76.8</x:v>
      </x:c>
      <x:c r="M123" s="63" t="n">
        <x:v>45.4</x:v>
      </x:c>
      <x:c r="N123" s="63" t="n">
        <x:v>71.3</x:v>
      </x:c>
      <x:c r="O123" s="63" t="n">
        <x:v>1</x:v>
      </x:c>
      <x:c r="P123" s="42" t="str">
        <x:v>模拟数据/方法演示</x:v>
      </x:c>
    </x:row>
    <x:row r="124">
      <x:c r="A124" s="42" t="str">
        <x:v>哈尔滨-demo</x:v>
      </x:c>
      <x:c r="B124" s="42" t="str">
        <x:v>哈尔滨</x:v>
      </x:c>
      <x:c r="C124" s="42" t="str">
        <x:v>历史正例模板</x:v>
      </x:c>
      <x:c r="D124" s="63" t="n">
        <x:v>6</x:v>
      </x:c>
      <x:c r="E124" s="63" t="n">
        <x:v>80.9</x:v>
      </x:c>
      <x:c r="F124" s="63" t="n">
        <x:v>74.2</x:v>
      </x:c>
      <x:c r="G124" s="63" t="n">
        <x:v>77.6</x:v>
      </x:c>
      <x:c r="H124" s="63" t="n">
        <x:v>74</x:v>
      </x:c>
      <x:c r="I124" s="63" t="n">
        <x:v>82</x:v>
      </x:c>
      <x:c r="J124" s="63" t="n">
        <x:v>88</x:v>
      </x:c>
      <x:c r="K124" s="63" t="n">
        <x:v>76</x:v>
      </x:c>
      <x:c r="L124" s="63" t="n">
        <x:v>75.9</x:v>
      </x:c>
      <x:c r="M124" s="63" t="n">
        <x:v>44.7</x:v>
      </x:c>
      <x:c r="N124" s="63" t="n">
        <x:v>71.6</x:v>
      </x:c>
      <x:c r="O124" s="63" t="n">
        <x:v>1</x:v>
      </x:c>
      <x:c r="P124" s="42" t="str">
        <x:v>模拟数据/方法演示</x:v>
      </x:c>
    </x:row>
    <x:row r="125">
      <x:c r="A125" s="42" t="str">
        <x:v>哈尔滨-demo</x:v>
      </x:c>
      <x:c r="B125" s="42" t="str">
        <x:v>哈尔滨</x:v>
      </x:c>
      <x:c r="C125" s="42" t="str">
        <x:v>历史正例模板</x:v>
      </x:c>
      <x:c r="D125" s="63" t="n">
        <x:v>7</x:v>
      </x:c>
      <x:c r="E125" s="63" t="n">
        <x:v>86.7</x:v>
      </x:c>
      <x:c r="F125" s="63" t="n">
        <x:v>72.9</x:v>
      </x:c>
      <x:c r="G125" s="63" t="n">
        <x:v>76.1</x:v>
      </x:c>
      <x:c r="H125" s="63" t="n">
        <x:v>74</x:v>
      </x:c>
      <x:c r="I125" s="63" t="n">
        <x:v>82</x:v>
      </x:c>
      <x:c r="J125" s="63" t="n">
        <x:v>88</x:v>
      </x:c>
      <x:c r="K125" s="63" t="n">
        <x:v>76</x:v>
      </x:c>
      <x:c r="L125" s="63" t="n">
        <x:v>74</x:v>
      </x:c>
      <x:c r="M125" s="63" t="n">
        <x:v>45.5</x:v>
      </x:c>
      <x:c r="N125" s="63" t="n">
        <x:v>72.1</x:v>
      </x:c>
      <x:c r="O125" s="63" t="n">
        <x:v>1</x:v>
      </x:c>
      <x:c r="P125" s="42" t="str">
        <x:v>模拟数据/方法演示</x:v>
      </x:c>
    </x:row>
    <x:row r="126">
      <x:c r="A126" s="42" t="str">
        <x:v>哈尔滨-demo</x:v>
      </x:c>
      <x:c r="B126" s="42" t="str">
        <x:v>哈尔滨</x:v>
      </x:c>
      <x:c r="C126" s="42" t="str">
        <x:v>历史正例模板</x:v>
      </x:c>
      <x:c r="D126" s="63" t="n">
        <x:v>8</x:v>
      </x:c>
      <x:c r="E126" s="63" t="n">
        <x:v>82.9</x:v>
      </x:c>
      <x:c r="F126" s="63" t="n">
        <x:v>72.7</x:v>
      </x:c>
      <x:c r="G126" s="63" t="n">
        <x:v>73.4</x:v>
      </x:c>
      <x:c r="H126" s="63" t="n">
        <x:v>74</x:v>
      </x:c>
      <x:c r="I126" s="63" t="n">
        <x:v>82</x:v>
      </x:c>
      <x:c r="J126" s="63" t="n">
        <x:v>88</x:v>
      </x:c>
      <x:c r="K126" s="63" t="n">
        <x:v>76</x:v>
      </x:c>
      <x:c r="L126" s="63" t="n">
        <x:v>72.5</x:v>
      </x:c>
      <x:c r="M126" s="63" t="n">
        <x:v>41.3</x:v>
      </x:c>
      <x:c r="N126" s="63" t="n">
        <x:v>71.4</x:v>
      </x:c>
      <x:c r="O126" s="63" t="n">
        <x:v>1</x:v>
      </x:c>
      <x:c r="P126" s="42" t="str">
        <x:v>模拟数据/方法演示</x:v>
      </x:c>
    </x:row>
    <x:row r="127">
      <x:c r="A127" s="42" t="str">
        <x:v>哈尔滨-demo</x:v>
      </x:c>
      <x:c r="B127" s="42" t="str">
        <x:v>哈尔滨</x:v>
      </x:c>
      <x:c r="C127" s="42" t="str">
        <x:v>历史正例模板</x:v>
      </x:c>
      <x:c r="D127" s="63" t="n">
        <x:v>9</x:v>
      </x:c>
      <x:c r="E127" s="63" t="n">
        <x:v>81.9</x:v>
      </x:c>
      <x:c r="F127" s="63" t="n">
        <x:v>72.7</x:v>
      </x:c>
      <x:c r="G127" s="63" t="n">
        <x:v>80.5</x:v>
      </x:c>
      <x:c r="H127" s="63" t="n">
        <x:v>74</x:v>
      </x:c>
      <x:c r="I127" s="63" t="n">
        <x:v>82</x:v>
      </x:c>
      <x:c r="J127" s="63" t="n">
        <x:v>88</x:v>
      </x:c>
      <x:c r="K127" s="63" t="n">
        <x:v>76</x:v>
      </x:c>
      <x:c r="L127" s="63" t="n">
        <x:v>75.5</x:v>
      </x:c>
      <x:c r="M127" s="63" t="n">
        <x:v>41</x:v>
      </x:c>
      <x:c r="N127" s="63" t="n">
        <x:v>72.4</x:v>
      </x:c>
      <x:c r="O127" s="63" t="n">
        <x:v>1</x:v>
      </x:c>
      <x:c r="P127" s="42" t="str">
        <x:v>模拟数据/方法演示</x:v>
      </x:c>
    </x:row>
    <x:row r="128">
      <x:c r="A128" s="42" t="str">
        <x:v>哈尔滨-demo</x:v>
      </x:c>
      <x:c r="B128" s="42" t="str">
        <x:v>哈尔滨</x:v>
      </x:c>
      <x:c r="C128" s="42" t="str">
        <x:v>历史正例模板</x:v>
      </x:c>
      <x:c r="D128" s="63" t="n">
        <x:v>10</x:v>
      </x:c>
      <x:c r="E128" s="63" t="n">
        <x:v>82.1</x:v>
      </x:c>
      <x:c r="F128" s="63" t="n">
        <x:v>77.5</x:v>
      </x:c>
      <x:c r="G128" s="63" t="n">
        <x:v>77.4</x:v>
      </x:c>
      <x:c r="H128" s="63" t="n">
        <x:v>74</x:v>
      </x:c>
      <x:c r="I128" s="63" t="n">
        <x:v>82</x:v>
      </x:c>
      <x:c r="J128" s="63" t="n">
        <x:v>88</x:v>
      </x:c>
      <x:c r="K128" s="63" t="n">
        <x:v>76</x:v>
      </x:c>
      <x:c r="L128" s="63" t="n">
        <x:v>75.3</x:v>
      </x:c>
      <x:c r="M128" s="63" t="n">
        <x:v>42.3</x:v>
      </x:c>
      <x:c r="N128" s="63" t="n">
        <x:v>72.7</x:v>
      </x:c>
      <x:c r="O128" s="63" t="n">
        <x:v>1</x:v>
      </x:c>
      <x:c r="P128" s="42" t="str">
        <x:v>模拟数据/方法演示</x:v>
      </x:c>
    </x:row>
    <x:row r="129">
      <x:c r="A129" s="42" t="str">
        <x:v>对照城市A-demo</x:v>
      </x:c>
      <x:c r="B129" s="42" t="str">
        <x:v>对照城市A</x:v>
      </x:c>
      <x:c r="C129" s="42" t="str">
        <x:v>对照组模板</x:v>
      </x:c>
      <x:c r="D129" s="63" t="n">
        <x:v>-30</x:v>
      </x:c>
      <x:c r="E129" s="63" t="n">
        <x:v>17.8</x:v>
      </x:c>
      <x:c r="F129" s="63" t="n">
        <x:v>18.1</x:v>
      </x:c>
      <x:c r="G129" s="63" t="n">
        <x:v>28.9</x:v>
      </x:c>
      <x:c r="H129" s="63" t="n">
        <x:v>64</x:v>
      </x:c>
      <x:c r="I129" s="63" t="n">
        <x:v>66</x:v>
      </x:c>
      <x:c r="J129" s="63" t="n">
        <x:v>70</x:v>
      </x:c>
      <x:c r="K129" s="63" t="n">
        <x:v>56</x:v>
      </x:c>
      <x:c r="L129" s="63" t="n">
        <x:v>25.8</x:v>
      </x:c>
      <x:c r="M129" s="63" t="n">
        <x:v>22.3</x:v>
      </x:c>
      <x:c r="N129" s="63" t="n">
        <x:v>34.2</x:v>
      </x:c>
      <x:c r="O129" s="63" t="n">
        <x:v>0</x:v>
      </x:c>
      <x:c r="P129" s="42" t="str">
        <x:v>模拟数据/方法演示</x:v>
      </x:c>
    </x:row>
    <x:row r="130">
      <x:c r="A130" s="42" t="str">
        <x:v>对照城市A-demo</x:v>
      </x:c>
      <x:c r="B130" s="42" t="str">
        <x:v>对照城市A</x:v>
      </x:c>
      <x:c r="C130" s="42" t="str">
        <x:v>对照组模板</x:v>
      </x:c>
      <x:c r="D130" s="63" t="n">
        <x:v>-29</x:v>
      </x:c>
      <x:c r="E130" s="63" t="n">
        <x:v>18.7</x:v>
      </x:c>
      <x:c r="F130" s="63" t="n">
        <x:v>19.6</x:v>
      </x:c>
      <x:c r="G130" s="63" t="n">
        <x:v>26.8</x:v>
      </x:c>
      <x:c r="H130" s="63" t="n">
        <x:v>64</x:v>
      </x:c>
      <x:c r="I130" s="63" t="n">
        <x:v>66</x:v>
      </x:c>
      <x:c r="J130" s="63" t="n">
        <x:v>70</x:v>
      </x:c>
      <x:c r="K130" s="63" t="n">
        <x:v>56</x:v>
      </x:c>
      <x:c r="L130" s="63" t="n">
        <x:v>23.3</x:v>
      </x:c>
      <x:c r="M130" s="63" t="n">
        <x:v>25.6</x:v>
      </x:c>
      <x:c r="N130" s="63" t="n">
        <x:v>33.7</x:v>
      </x:c>
      <x:c r="O130" s="63" t="n">
        <x:v>0</x:v>
      </x:c>
      <x:c r="P130" s="42" t="str">
        <x:v>模拟数据/方法演示</x:v>
      </x:c>
    </x:row>
    <x:row r="131">
      <x:c r="A131" s="42" t="str">
        <x:v>对照城市A-demo</x:v>
      </x:c>
      <x:c r="B131" s="42" t="str">
        <x:v>对照城市A</x:v>
      </x:c>
      <x:c r="C131" s="42" t="str">
        <x:v>对照组模板</x:v>
      </x:c>
      <x:c r="D131" s="63" t="n">
        <x:v>-28</x:v>
      </x:c>
      <x:c r="E131" s="63" t="n">
        <x:v>18.1</x:v>
      </x:c>
      <x:c r="F131" s="63" t="n">
        <x:v>23.7</x:v>
      </x:c>
      <x:c r="G131" s="63" t="n">
        <x:v>26.6</x:v>
      </x:c>
      <x:c r="H131" s="63" t="n">
        <x:v>64</x:v>
      </x:c>
      <x:c r="I131" s="63" t="n">
        <x:v>66</x:v>
      </x:c>
      <x:c r="J131" s="63" t="n">
        <x:v>70</x:v>
      </x:c>
      <x:c r="K131" s="63" t="n">
        <x:v>56</x:v>
      </x:c>
      <x:c r="L131" s="63" t="n">
        <x:v>36.8</x:v>
      </x:c>
      <x:c r="M131" s="63" t="n">
        <x:v>24.8</x:v>
      </x:c>
      <x:c r="N131" s="63" t="n">
        <x:v>35.8</x:v>
      </x:c>
      <x:c r="O131" s="63" t="n">
        <x:v>0</x:v>
      </x:c>
      <x:c r="P131" s="42" t="str">
        <x:v>模拟数据/方法演示</x:v>
      </x:c>
    </x:row>
    <x:row r="132">
      <x:c r="A132" s="42" t="str">
        <x:v>对照城市A-demo</x:v>
      </x:c>
      <x:c r="B132" s="42" t="str">
        <x:v>对照城市A</x:v>
      </x:c>
      <x:c r="C132" s="42" t="str">
        <x:v>对照组模板</x:v>
      </x:c>
      <x:c r="D132" s="63" t="n">
        <x:v>-27</x:v>
      </x:c>
      <x:c r="E132" s="63" t="n">
        <x:v>25.6</x:v>
      </x:c>
      <x:c r="F132" s="63" t="n">
        <x:v>20.3</x:v>
      </x:c>
      <x:c r="G132" s="63" t="n">
        <x:v>32.9</x:v>
      </x:c>
      <x:c r="H132" s="63" t="n">
        <x:v>64</x:v>
      </x:c>
      <x:c r="I132" s="63" t="n">
        <x:v>66</x:v>
      </x:c>
      <x:c r="J132" s="63" t="n">
        <x:v>70</x:v>
      </x:c>
      <x:c r="K132" s="63" t="n">
        <x:v>56</x:v>
      </x:c>
      <x:c r="L132" s="63" t="n">
        <x:v>28</x:v>
      </x:c>
      <x:c r="M132" s="63" t="n">
        <x:v>20.9</x:v>
      </x:c>
      <x:c r="N132" s="63" t="n">
        <x:v>37.3</x:v>
      </x:c>
      <x:c r="O132" s="63" t="n">
        <x:v>0</x:v>
      </x:c>
      <x:c r="P132" s="42" t="str">
        <x:v>模拟数据/方法演示</x:v>
      </x:c>
    </x:row>
    <x:row r="133">
      <x:c r="A133" s="42" t="str">
        <x:v>对照城市A-demo</x:v>
      </x:c>
      <x:c r="B133" s="42" t="str">
        <x:v>对照城市A</x:v>
      </x:c>
      <x:c r="C133" s="42" t="str">
        <x:v>对照组模板</x:v>
      </x:c>
      <x:c r="D133" s="63" t="n">
        <x:v>-26</x:v>
      </x:c>
      <x:c r="E133" s="63" t="n">
        <x:v>26.2</x:v>
      </x:c>
      <x:c r="F133" s="63" t="n">
        <x:v>20.5</x:v>
      </x:c>
      <x:c r="G133" s="63" t="n">
        <x:v>26.1</x:v>
      </x:c>
      <x:c r="H133" s="63" t="n">
        <x:v>64</x:v>
      </x:c>
      <x:c r="I133" s="63" t="n">
        <x:v>66</x:v>
      </x:c>
      <x:c r="J133" s="63" t="n">
        <x:v>70</x:v>
      </x:c>
      <x:c r="K133" s="63" t="n">
        <x:v>56</x:v>
      </x:c>
      <x:c r="L133" s="63" t="n">
        <x:v>33.6</x:v>
      </x:c>
      <x:c r="M133" s="63" t="n">
        <x:v>22.1</x:v>
      </x:c>
      <x:c r="N133" s="63" t="n">
        <x:v>37</x:v>
      </x:c>
      <x:c r="O133" s="63" t="n">
        <x:v>0</x:v>
      </x:c>
      <x:c r="P133" s="42" t="str">
        <x:v>模拟数据/方法演示</x:v>
      </x:c>
    </x:row>
    <x:row r="134">
      <x:c r="A134" s="42" t="str">
        <x:v>对照城市A-demo</x:v>
      </x:c>
      <x:c r="B134" s="42" t="str">
        <x:v>对照城市A</x:v>
      </x:c>
      <x:c r="C134" s="42" t="str">
        <x:v>对照组模板</x:v>
      </x:c>
      <x:c r="D134" s="63" t="n">
        <x:v>-25</x:v>
      </x:c>
      <x:c r="E134" s="63" t="n">
        <x:v>25.9</x:v>
      </x:c>
      <x:c r="F134" s="63" t="n">
        <x:v>18.5</x:v>
      </x:c>
      <x:c r="G134" s="63" t="n">
        <x:v>28.9</x:v>
      </x:c>
      <x:c r="H134" s="63" t="n">
        <x:v>64</x:v>
      </x:c>
      <x:c r="I134" s="63" t="n">
        <x:v>66</x:v>
      </x:c>
      <x:c r="J134" s="63" t="n">
        <x:v>70</x:v>
      </x:c>
      <x:c r="K134" s="63" t="n">
        <x:v>56</x:v>
      </x:c>
      <x:c r="L134" s="63" t="n">
        <x:v>25.4</x:v>
      </x:c>
      <x:c r="M134" s="63" t="n">
        <x:v>28.8</x:v>
      </x:c>
      <x:c r="N134" s="63" t="n">
        <x:v>35.1</x:v>
      </x:c>
      <x:c r="O134" s="63" t="n">
        <x:v>0</x:v>
      </x:c>
      <x:c r="P134" s="42" t="str">
        <x:v>模拟数据/方法演示</x:v>
      </x:c>
    </x:row>
    <x:row r="135">
      <x:c r="A135" s="42" t="str">
        <x:v>对照城市A-demo</x:v>
      </x:c>
      <x:c r="B135" s="42" t="str">
        <x:v>对照城市A</x:v>
      </x:c>
      <x:c r="C135" s="42" t="str">
        <x:v>对照组模板</x:v>
      </x:c>
      <x:c r="D135" s="63" t="n">
        <x:v>-24</x:v>
      </x:c>
      <x:c r="E135" s="63" t="n">
        <x:v>28.7</x:v>
      </x:c>
      <x:c r="F135" s="63" t="n">
        <x:v>19</x:v>
      </x:c>
      <x:c r="G135" s="63" t="n">
        <x:v>33</x:v>
      </x:c>
      <x:c r="H135" s="63" t="n">
        <x:v>64</x:v>
      </x:c>
      <x:c r="I135" s="63" t="n">
        <x:v>66</x:v>
      </x:c>
      <x:c r="J135" s="63" t="n">
        <x:v>70</x:v>
      </x:c>
      <x:c r="K135" s="63" t="n">
        <x:v>56</x:v>
      </x:c>
      <x:c r="L135" s="63" t="n">
        <x:v>25.4</x:v>
      </x:c>
      <x:c r="M135" s="63" t="n">
        <x:v>23.7</x:v>
      </x:c>
      <x:c r="N135" s="63" t="n">
        <x:v>37</x:v>
      </x:c>
      <x:c r="O135" s="63" t="n">
        <x:v>0</x:v>
      </x:c>
      <x:c r="P135" s="42" t="str">
        <x:v>模拟数据/方法演示</x:v>
      </x:c>
    </x:row>
    <x:row r="136">
      <x:c r="A136" s="42" t="str">
        <x:v>对照城市A-demo</x:v>
      </x:c>
      <x:c r="B136" s="42" t="str">
        <x:v>对照城市A</x:v>
      </x:c>
      <x:c r="C136" s="42" t="str">
        <x:v>对照组模板</x:v>
      </x:c>
      <x:c r="D136" s="63" t="n">
        <x:v>-23</x:v>
      </x:c>
      <x:c r="E136" s="63" t="n">
        <x:v>27.9</x:v>
      </x:c>
      <x:c r="F136" s="63" t="n">
        <x:v>17.6</x:v>
      </x:c>
      <x:c r="G136" s="63" t="n">
        <x:v>33.3</x:v>
      </x:c>
      <x:c r="H136" s="63" t="n">
        <x:v>64</x:v>
      </x:c>
      <x:c r="I136" s="63" t="n">
        <x:v>66</x:v>
      </x:c>
      <x:c r="J136" s="63" t="n">
        <x:v>70</x:v>
      </x:c>
      <x:c r="K136" s="63" t="n">
        <x:v>56</x:v>
      </x:c>
      <x:c r="L136" s="63" t="n">
        <x:v>30.2</x:v>
      </x:c>
      <x:c r="M136" s="63" t="n">
        <x:v>23.1</x:v>
      </x:c>
      <x:c r="N136" s="63" t="n">
        <x:v>37.2</x:v>
      </x:c>
      <x:c r="O136" s="63" t="n">
        <x:v>0</x:v>
      </x:c>
      <x:c r="P136" s="42" t="str">
        <x:v>模拟数据/方法演示</x:v>
      </x:c>
    </x:row>
    <x:row r="137">
      <x:c r="A137" s="42" t="str">
        <x:v>对照城市A-demo</x:v>
      </x:c>
      <x:c r="B137" s="42" t="str">
        <x:v>对照城市A</x:v>
      </x:c>
      <x:c r="C137" s="42" t="str">
        <x:v>对照组模板</x:v>
      </x:c>
      <x:c r="D137" s="63" t="n">
        <x:v>-22</x:v>
      </x:c>
      <x:c r="E137" s="63" t="n">
        <x:v>21.5</x:v>
      </x:c>
      <x:c r="F137" s="63" t="n">
        <x:v>15.2</x:v>
      </x:c>
      <x:c r="G137" s="63" t="n">
        <x:v>28.7</x:v>
      </x:c>
      <x:c r="H137" s="63" t="n">
        <x:v>64</x:v>
      </x:c>
      <x:c r="I137" s="63" t="n">
        <x:v>66</x:v>
      </x:c>
      <x:c r="J137" s="63" t="n">
        <x:v>70</x:v>
      </x:c>
      <x:c r="K137" s="63" t="n">
        <x:v>56</x:v>
      </x:c>
      <x:c r="L137" s="63" t="n">
        <x:v>27.2</x:v>
      </x:c>
      <x:c r="M137" s="63" t="n">
        <x:v>22.7</x:v>
      </x:c>
      <x:c r="N137" s="63" t="n">
        <x:v>34.6</x:v>
      </x:c>
      <x:c r="O137" s="63" t="n">
        <x:v>0</x:v>
      </x:c>
      <x:c r="P137" s="42" t="str">
        <x:v>模拟数据/方法演示</x:v>
      </x:c>
    </x:row>
    <x:row r="138">
      <x:c r="A138" s="42" t="str">
        <x:v>对照城市A-demo</x:v>
      </x:c>
      <x:c r="B138" s="42" t="str">
        <x:v>对照城市A</x:v>
      </x:c>
      <x:c r="C138" s="42" t="str">
        <x:v>对照组模板</x:v>
      </x:c>
      <x:c r="D138" s="63" t="n">
        <x:v>-21</x:v>
      </x:c>
      <x:c r="E138" s="63" t="n">
        <x:v>25.1</x:v>
      </x:c>
      <x:c r="F138" s="63" t="n">
        <x:v>16.4</x:v>
      </x:c>
      <x:c r="G138" s="63" t="n">
        <x:v>37</x:v>
      </x:c>
      <x:c r="H138" s="63" t="n">
        <x:v>64</x:v>
      </x:c>
      <x:c r="I138" s="63" t="n">
        <x:v>66</x:v>
      </x:c>
      <x:c r="J138" s="63" t="n">
        <x:v>70</x:v>
      </x:c>
      <x:c r="K138" s="63" t="n">
        <x:v>56</x:v>
      </x:c>
      <x:c r="L138" s="63" t="n">
        <x:v>26.5</x:v>
      </x:c>
      <x:c r="M138" s="63" t="n">
        <x:v>21.2</x:v>
      </x:c>
      <x:c r="N138" s="63" t="n">
        <x:v>36.7</x:v>
      </x:c>
      <x:c r="O138" s="63" t="n">
        <x:v>0</x:v>
      </x:c>
      <x:c r="P138" s="42" t="str">
        <x:v>模拟数据/方法演示</x:v>
      </x:c>
    </x:row>
    <x:row r="139">
      <x:c r="A139" s="42" t="str">
        <x:v>对照城市A-demo</x:v>
      </x:c>
      <x:c r="B139" s="42" t="str">
        <x:v>对照城市A</x:v>
      </x:c>
      <x:c r="C139" s="42" t="str">
        <x:v>对照组模板</x:v>
      </x:c>
      <x:c r="D139" s="63" t="n">
        <x:v>-20</x:v>
      </x:c>
      <x:c r="E139" s="63" t="n">
        <x:v>26.4</x:v>
      </x:c>
      <x:c r="F139" s="63" t="n">
        <x:v>15.5</x:v>
      </x:c>
      <x:c r="G139" s="63" t="n">
        <x:v>36.7</x:v>
      </x:c>
      <x:c r="H139" s="63" t="n">
        <x:v>64</x:v>
      </x:c>
      <x:c r="I139" s="63" t="n">
        <x:v>66</x:v>
      </x:c>
      <x:c r="J139" s="63" t="n">
        <x:v>70</x:v>
      </x:c>
      <x:c r="K139" s="63" t="n">
        <x:v>56</x:v>
      </x:c>
      <x:c r="L139" s="63" t="n">
        <x:v>22.7</x:v>
      </x:c>
      <x:c r="M139" s="63" t="n">
        <x:v>20.9</x:v>
      </x:c>
      <x:c r="N139" s="63" t="n">
        <x:v>36.5</x:v>
      </x:c>
      <x:c r="O139" s="63" t="n">
        <x:v>0</x:v>
      </x:c>
      <x:c r="P139" s="42" t="str">
        <x:v>模拟数据/方法演示</x:v>
      </x:c>
    </x:row>
    <x:row r="140">
      <x:c r="A140" s="42" t="str">
        <x:v>对照城市A-demo</x:v>
      </x:c>
      <x:c r="B140" s="42" t="str">
        <x:v>对照城市A</x:v>
      </x:c>
      <x:c r="C140" s="42" t="str">
        <x:v>对照组模板</x:v>
      </x:c>
      <x:c r="D140" s="63" t="n">
        <x:v>-19</x:v>
      </x:c>
      <x:c r="E140" s="63" t="n">
        <x:v>19.3</x:v>
      </x:c>
      <x:c r="F140" s="63" t="n">
        <x:v>13.7</x:v>
      </x:c>
      <x:c r="G140" s="63" t="n">
        <x:v>32.1</x:v>
      </x:c>
      <x:c r="H140" s="63" t="n">
        <x:v>64</x:v>
      </x:c>
      <x:c r="I140" s="63" t="n">
        <x:v>66</x:v>
      </x:c>
      <x:c r="J140" s="63" t="n">
        <x:v>70</x:v>
      </x:c>
      <x:c r="K140" s="63" t="n">
        <x:v>56</x:v>
      </x:c>
      <x:c r="L140" s="63" t="n">
        <x:v>26.6</x:v>
      </x:c>
      <x:c r="M140" s="63" t="n">
        <x:v>19.7</x:v>
      </x:c>
      <x:c r="N140" s="63" t="n">
        <x:v>34.6</x:v>
      </x:c>
      <x:c r="O140" s="63" t="n">
        <x:v>0</x:v>
      </x:c>
      <x:c r="P140" s="42" t="str">
        <x:v>模拟数据/方法演示</x:v>
      </x:c>
    </x:row>
    <x:row r="141">
      <x:c r="A141" s="42" t="str">
        <x:v>对照城市A-demo</x:v>
      </x:c>
      <x:c r="B141" s="42" t="str">
        <x:v>对照城市A</x:v>
      </x:c>
      <x:c r="C141" s="42" t="str">
        <x:v>对照组模板</x:v>
      </x:c>
      <x:c r="D141" s="63" t="n">
        <x:v>-18</x:v>
      </x:c>
      <x:c r="E141" s="63" t="n">
        <x:v>17.4</x:v>
      </x:c>
      <x:c r="F141" s="63" t="n">
        <x:v>12</x:v>
      </x:c>
      <x:c r="G141" s="63" t="n">
        <x:v>32</x:v>
      </x:c>
      <x:c r="H141" s="63" t="n">
        <x:v>64</x:v>
      </x:c>
      <x:c r="I141" s="63" t="n">
        <x:v>66</x:v>
      </x:c>
      <x:c r="J141" s="63" t="n">
        <x:v>70</x:v>
      </x:c>
      <x:c r="K141" s="63" t="n">
        <x:v>56</x:v>
      </x:c>
      <x:c r="L141" s="63" t="n">
        <x:v>35.9</x:v>
      </x:c>
      <x:c r="M141" s="63" t="n">
        <x:v>24.9</x:v>
      </x:c>
      <x:c r="N141" s="63" t="n">
        <x:v>34</x:v>
      </x:c>
      <x:c r="O141" s="63" t="n">
        <x:v>0</x:v>
      </x:c>
      <x:c r="P141" s="42" t="str">
        <x:v>模拟数据/方法演示</x:v>
      </x:c>
    </x:row>
    <x:row r="142">
      <x:c r="A142" s="42" t="str">
        <x:v>对照城市A-demo</x:v>
      </x:c>
      <x:c r="B142" s="42" t="str">
        <x:v>对照城市A</x:v>
      </x:c>
      <x:c r="C142" s="42" t="str">
        <x:v>对照组模板</x:v>
      </x:c>
      <x:c r="D142" s="63" t="n">
        <x:v>-17</x:v>
      </x:c>
      <x:c r="E142" s="63" t="n">
        <x:v>21</x:v>
      </x:c>
      <x:c r="F142" s="63" t="n">
        <x:v>12.2</x:v>
      </x:c>
      <x:c r="G142" s="63" t="n">
        <x:v>26.6</x:v>
      </x:c>
      <x:c r="H142" s="63" t="n">
        <x:v>64</x:v>
      </x:c>
      <x:c r="I142" s="63" t="n">
        <x:v>66</x:v>
      </x:c>
      <x:c r="J142" s="63" t="n">
        <x:v>70</x:v>
      </x:c>
      <x:c r="K142" s="63" t="n">
        <x:v>56</x:v>
      </x:c>
      <x:c r="L142" s="63" t="n">
        <x:v>28.4</x:v>
      </x:c>
      <x:c r="M142" s="63" t="n">
        <x:v>23.6</x:v>
      </x:c>
      <x:c r="N142" s="63" t="n">
        <x:v>33.7</x:v>
      </x:c>
      <x:c r="O142" s="63" t="n">
        <x:v>0</x:v>
      </x:c>
      <x:c r="P142" s="42" t="str">
        <x:v>模拟数据/方法演示</x:v>
      </x:c>
    </x:row>
    <x:row r="143">
      <x:c r="A143" s="42" t="str">
        <x:v>对照城市A-demo</x:v>
      </x:c>
      <x:c r="B143" s="42" t="str">
        <x:v>对照城市A</x:v>
      </x:c>
      <x:c r="C143" s="42" t="str">
        <x:v>对照组模板</x:v>
      </x:c>
      <x:c r="D143" s="63" t="n">
        <x:v>-16</x:v>
      </x:c>
      <x:c r="E143" s="63" t="n">
        <x:v>14.2</x:v>
      </x:c>
      <x:c r="F143" s="63" t="n">
        <x:v>9.9</x:v>
      </x:c>
      <x:c r="G143" s="63" t="n">
        <x:v>30.1</x:v>
      </x:c>
      <x:c r="H143" s="63" t="n">
        <x:v>64</x:v>
      </x:c>
      <x:c r="I143" s="63" t="n">
        <x:v>66</x:v>
      </x:c>
      <x:c r="J143" s="63" t="n">
        <x:v>70</x:v>
      </x:c>
      <x:c r="K143" s="63" t="n">
        <x:v>56</x:v>
      </x:c>
      <x:c r="L143" s="63" t="n">
        <x:v>24.7</x:v>
      </x:c>
      <x:c r="M143" s="63" t="n">
        <x:v>21.6</x:v>
      </x:c>
      <x:c r="N143" s="63" t="n">
        <x:v>32.1</x:v>
      </x:c>
      <x:c r="O143" s="63" t="n">
        <x:v>0</x:v>
      </x:c>
      <x:c r="P143" s="42" t="str">
        <x:v>模拟数据/方法演示</x:v>
      </x:c>
    </x:row>
    <x:row r="144">
      <x:c r="A144" s="42" t="str">
        <x:v>对照城市A-demo</x:v>
      </x:c>
      <x:c r="B144" s="42" t="str">
        <x:v>对照城市A</x:v>
      </x:c>
      <x:c r="C144" s="42" t="str">
        <x:v>对照组模板</x:v>
      </x:c>
      <x:c r="D144" s="63" t="n">
        <x:v>-15</x:v>
      </x:c>
      <x:c r="E144" s="63" t="n">
        <x:v>18.7</x:v>
      </x:c>
      <x:c r="F144" s="63" t="n">
        <x:v>13.9</x:v>
      </x:c>
      <x:c r="G144" s="63" t="n">
        <x:v>29.3</x:v>
      </x:c>
      <x:c r="H144" s="63" t="n">
        <x:v>64</x:v>
      </x:c>
      <x:c r="I144" s="63" t="n">
        <x:v>66</x:v>
      </x:c>
      <x:c r="J144" s="63" t="n">
        <x:v>70</x:v>
      </x:c>
      <x:c r="K144" s="63" t="n">
        <x:v>56</x:v>
      </x:c>
      <x:c r="L144" s="63" t="n">
        <x:v>24.9</x:v>
      </x:c>
      <x:c r="M144" s="63" t="n">
        <x:v>20.9</x:v>
      </x:c>
      <x:c r="N144" s="63" t="n">
        <x:v>33.8</x:v>
      </x:c>
      <x:c r="O144" s="63" t="n">
        <x:v>0</x:v>
      </x:c>
      <x:c r="P144" s="42" t="str">
        <x:v>模拟数据/方法演示</x:v>
      </x:c>
    </x:row>
    <x:row r="145">
      <x:c r="A145" s="42" t="str">
        <x:v>对照城市A-demo</x:v>
      </x:c>
      <x:c r="B145" s="42" t="str">
        <x:v>对照城市A</x:v>
      </x:c>
      <x:c r="C145" s="42" t="str">
        <x:v>对照组模板</x:v>
      </x:c>
      <x:c r="D145" s="63" t="n">
        <x:v>-14</x:v>
      </x:c>
      <x:c r="E145" s="63" t="n">
        <x:v>18.7</x:v>
      </x:c>
      <x:c r="F145" s="63" t="n">
        <x:v>8.8</x:v>
      </x:c>
      <x:c r="G145" s="63" t="n">
        <x:v>29</x:v>
      </x:c>
      <x:c r="H145" s="63" t="n">
        <x:v>64</x:v>
      </x:c>
      <x:c r="I145" s="63" t="n">
        <x:v>66</x:v>
      </x:c>
      <x:c r="J145" s="63" t="n">
        <x:v>70</x:v>
      </x:c>
      <x:c r="K145" s="63" t="n">
        <x:v>56</x:v>
      </x:c>
      <x:c r="L145" s="63" t="n">
        <x:v>34.8</x:v>
      </x:c>
      <x:c r="M145" s="63" t="n">
        <x:v>25.2</x:v>
      </x:c>
      <x:c r="N145" s="63" t="n">
        <x:v>33.2</x:v>
      </x:c>
      <x:c r="O145" s="63" t="n">
        <x:v>0</x:v>
      </x:c>
      <x:c r="P145" s="42" t="str">
        <x:v>模拟数据/方法演示</x:v>
      </x:c>
    </x:row>
    <x:row r="146">
      <x:c r="A146" s="42" t="str">
        <x:v>对照城市A-demo</x:v>
      </x:c>
      <x:c r="B146" s="42" t="str">
        <x:v>对照城市A</x:v>
      </x:c>
      <x:c r="C146" s="42" t="str">
        <x:v>对照组模板</x:v>
      </x:c>
      <x:c r="D146" s="63" t="n">
        <x:v>-13</x:v>
      </x:c>
      <x:c r="E146" s="63" t="n">
        <x:v>14.8</x:v>
      </x:c>
      <x:c r="F146" s="63" t="n">
        <x:v>14.4</x:v>
      </x:c>
      <x:c r="G146" s="63" t="n">
        <x:v>28.8</x:v>
      </x:c>
      <x:c r="H146" s="63" t="n">
        <x:v>64</x:v>
      </x:c>
      <x:c r="I146" s="63" t="n">
        <x:v>66</x:v>
      </x:c>
      <x:c r="J146" s="63" t="n">
        <x:v>70</x:v>
      </x:c>
      <x:c r="K146" s="63" t="n">
        <x:v>56</x:v>
      </x:c>
      <x:c r="L146" s="63" t="n">
        <x:v>28.2</x:v>
      </x:c>
      <x:c r="M146" s="63" t="n">
        <x:v>24.7</x:v>
      </x:c>
      <x:c r="N146" s="63" t="n">
        <x:v>32.8</x:v>
      </x:c>
      <x:c r="O146" s="63" t="n">
        <x:v>0</x:v>
      </x:c>
      <x:c r="P146" s="42" t="str">
        <x:v>模拟数据/方法演示</x:v>
      </x:c>
    </x:row>
    <x:row r="147">
      <x:c r="A147" s="42" t="str">
        <x:v>对照城市A-demo</x:v>
      </x:c>
      <x:c r="B147" s="42" t="str">
        <x:v>对照城市A</x:v>
      </x:c>
      <x:c r="C147" s="42" t="str">
        <x:v>对照组模板</x:v>
      </x:c>
      <x:c r="D147" s="63" t="n">
        <x:v>-12</x:v>
      </x:c>
      <x:c r="E147" s="63" t="n">
        <x:v>12.7</x:v>
      </x:c>
      <x:c r="F147" s="63" t="n">
        <x:v>11.5</x:v>
      </x:c>
      <x:c r="G147" s="63" t="n">
        <x:v>34</x:v>
      </x:c>
      <x:c r="H147" s="63" t="n">
        <x:v>64</x:v>
      </x:c>
      <x:c r="I147" s="63" t="n">
        <x:v>66</x:v>
      </x:c>
      <x:c r="J147" s="63" t="n">
        <x:v>70</x:v>
      </x:c>
      <x:c r="K147" s="63" t="n">
        <x:v>56</x:v>
      </x:c>
      <x:c r="L147" s="63" t="n">
        <x:v>30</x:v>
      </x:c>
      <x:c r="M147" s="63" t="n">
        <x:v>27.2</x:v>
      </x:c>
      <x:c r="N147" s="63" t="n">
        <x:v>32.2</x:v>
      </x:c>
      <x:c r="O147" s="63" t="n">
        <x:v>0</x:v>
      </x:c>
      <x:c r="P147" s="42" t="str">
        <x:v>模拟数据/方法演示</x:v>
      </x:c>
    </x:row>
    <x:row r="148">
      <x:c r="A148" s="42" t="str">
        <x:v>对照城市A-demo</x:v>
      </x:c>
      <x:c r="B148" s="42" t="str">
        <x:v>对照城市A</x:v>
      </x:c>
      <x:c r="C148" s="42" t="str">
        <x:v>对照组模板</x:v>
      </x:c>
      <x:c r="D148" s="63" t="n">
        <x:v>-11</x:v>
      </x:c>
      <x:c r="E148" s="63" t="n">
        <x:v>15.8</x:v>
      </x:c>
      <x:c r="F148" s="63" t="n">
        <x:v>15.2</x:v>
      </x:c>
      <x:c r="G148" s="63" t="n">
        <x:v>34</x:v>
      </x:c>
      <x:c r="H148" s="63" t="n">
        <x:v>64</x:v>
      </x:c>
      <x:c r="I148" s="63" t="n">
        <x:v>66</x:v>
      </x:c>
      <x:c r="J148" s="63" t="n">
        <x:v>70</x:v>
      </x:c>
      <x:c r="K148" s="63" t="n">
        <x:v>56</x:v>
      </x:c>
      <x:c r="L148" s="63" t="n">
        <x:v>30.6</x:v>
      </x:c>
      <x:c r="M148" s="63" t="n">
        <x:v>22</x:v>
      </x:c>
      <x:c r="N148" s="63" t="n">
        <x:v>34.4</x:v>
      </x:c>
      <x:c r="O148" s="63" t="n">
        <x:v>0</x:v>
      </x:c>
      <x:c r="P148" s="42" t="str">
        <x:v>模拟数据/方法演示</x:v>
      </x:c>
    </x:row>
    <x:row r="149">
      <x:c r="A149" s="42" t="str">
        <x:v>对照城市A-demo</x:v>
      </x:c>
      <x:c r="B149" s="42" t="str">
        <x:v>对照城市A</x:v>
      </x:c>
      <x:c r="C149" s="42" t="str">
        <x:v>对照组模板</x:v>
      </x:c>
      <x:c r="D149" s="63" t="n">
        <x:v>-10</x:v>
      </x:c>
      <x:c r="E149" s="63" t="n">
        <x:v>14.9</x:v>
      </x:c>
      <x:c r="F149" s="63" t="n">
        <x:v>12.7</x:v>
      </x:c>
      <x:c r="G149" s="63" t="n">
        <x:v>36.7</x:v>
      </x:c>
      <x:c r="H149" s="63" t="n">
        <x:v>64</x:v>
      </x:c>
      <x:c r="I149" s="63" t="n">
        <x:v>66</x:v>
      </x:c>
      <x:c r="J149" s="63" t="n">
        <x:v>70</x:v>
      </x:c>
      <x:c r="K149" s="63" t="n">
        <x:v>56</x:v>
      </x:c>
      <x:c r="L149" s="63" t="n">
        <x:v>31.3</x:v>
      </x:c>
      <x:c r="M149" s="63" t="n">
        <x:v>24.6</x:v>
      </x:c>
      <x:c r="N149" s="63" t="n">
        <x:v>33.8</x:v>
      </x:c>
      <x:c r="O149" s="63" t="n">
        <x:v>0</x:v>
      </x:c>
      <x:c r="P149" s="42" t="str">
        <x:v>模拟数据/方法演示</x:v>
      </x:c>
    </x:row>
    <x:row r="150">
      <x:c r="A150" s="42" t="str">
        <x:v>对照城市A-demo</x:v>
      </x:c>
      <x:c r="B150" s="42" t="str">
        <x:v>对照城市A</x:v>
      </x:c>
      <x:c r="C150" s="42" t="str">
        <x:v>对照组模板</x:v>
      </x:c>
      <x:c r="D150" s="63" t="n">
        <x:v>-9</x:v>
      </x:c>
      <x:c r="E150" s="63" t="n">
        <x:v>16.5</x:v>
      </x:c>
      <x:c r="F150" s="63" t="n">
        <x:v>14.9</x:v>
      </x:c>
      <x:c r="G150" s="63" t="n">
        <x:v>29</x:v>
      </x:c>
      <x:c r="H150" s="63" t="n">
        <x:v>64</x:v>
      </x:c>
      <x:c r="I150" s="63" t="n">
        <x:v>66</x:v>
      </x:c>
      <x:c r="J150" s="63" t="n">
        <x:v>70</x:v>
      </x:c>
      <x:c r="K150" s="63" t="n">
        <x:v>56</x:v>
      </x:c>
      <x:c r="L150" s="63" t="n">
        <x:v>30.3</x:v>
      </x:c>
      <x:c r="M150" s="63" t="n">
        <x:v>22.4</x:v>
      </x:c>
      <x:c r="N150" s="63" t="n">
        <x:v>33.8</x:v>
      </x:c>
      <x:c r="O150" s="63" t="n">
        <x:v>0</x:v>
      </x:c>
      <x:c r="P150" s="42" t="str">
        <x:v>模拟数据/方法演示</x:v>
      </x:c>
    </x:row>
    <x:row r="151">
      <x:c r="A151" s="42" t="str">
        <x:v>对照城市A-demo</x:v>
      </x:c>
      <x:c r="B151" s="42" t="str">
        <x:v>对照城市A</x:v>
      </x:c>
      <x:c r="C151" s="42" t="str">
        <x:v>对照组模板</x:v>
      </x:c>
      <x:c r="D151" s="63" t="n">
        <x:v>-8</x:v>
      </x:c>
      <x:c r="E151" s="63" t="n">
        <x:v>13</x:v>
      </x:c>
      <x:c r="F151" s="63" t="n">
        <x:v>13</x:v>
      </x:c>
      <x:c r="G151" s="63" t="n">
        <x:v>27.1</x:v>
      </x:c>
      <x:c r="H151" s="63" t="n">
        <x:v>64</x:v>
      </x:c>
      <x:c r="I151" s="63" t="n">
        <x:v>66</x:v>
      </x:c>
      <x:c r="J151" s="63" t="n">
        <x:v>70</x:v>
      </x:c>
      <x:c r="K151" s="63" t="n">
        <x:v>56</x:v>
      </x:c>
      <x:c r="L151" s="63" t="n">
        <x:v>30.7</x:v>
      </x:c>
      <x:c r="M151" s="63" t="n">
        <x:v>28.4</x:v>
      </x:c>
      <x:c r="N151" s="63" t="n">
        <x:v>31.6</x:v>
      </x:c>
      <x:c r="O151" s="63" t="n">
        <x:v>0</x:v>
      </x:c>
      <x:c r="P151" s="42" t="str">
        <x:v>模拟数据/方法演示</x:v>
      </x:c>
    </x:row>
    <x:row r="152">
      <x:c r="A152" s="42" t="str">
        <x:v>对照城市A-demo</x:v>
      </x:c>
      <x:c r="B152" s="42" t="str">
        <x:v>对照城市A</x:v>
      </x:c>
      <x:c r="C152" s="42" t="str">
        <x:v>对照组模板</x:v>
      </x:c>
      <x:c r="D152" s="63" t="n">
        <x:v>-7</x:v>
      </x:c>
      <x:c r="E152" s="63" t="n">
        <x:v>12.1</x:v>
      </x:c>
      <x:c r="F152" s="63" t="n">
        <x:v>15</x:v>
      </x:c>
      <x:c r="G152" s="63" t="n">
        <x:v>33.7</x:v>
      </x:c>
      <x:c r="H152" s="63" t="n">
        <x:v>64</x:v>
      </x:c>
      <x:c r="I152" s="63" t="n">
        <x:v>66</x:v>
      </x:c>
      <x:c r="J152" s="63" t="n">
        <x:v>70</x:v>
      </x:c>
      <x:c r="K152" s="63" t="n">
        <x:v>56</x:v>
      </x:c>
      <x:c r="L152" s="63" t="n">
        <x:v>31.7</x:v>
      </x:c>
      <x:c r="M152" s="63" t="n">
        <x:v>20.1</x:v>
      </x:c>
      <x:c r="N152" s="63" t="n">
        <x:v>33.9</x:v>
      </x:c>
      <x:c r="O152" s="63" t="n">
        <x:v>0</x:v>
      </x:c>
      <x:c r="P152" s="42" t="str">
        <x:v>模拟数据/方法演示</x:v>
      </x:c>
    </x:row>
    <x:row r="153">
      <x:c r="A153" s="42" t="str">
        <x:v>对照城市A-demo</x:v>
      </x:c>
      <x:c r="B153" s="42" t="str">
        <x:v>对照城市A</x:v>
      </x:c>
      <x:c r="C153" s="42" t="str">
        <x:v>对照组模板</x:v>
      </x:c>
      <x:c r="D153" s="63" t="n">
        <x:v>-6</x:v>
      </x:c>
      <x:c r="E153" s="63" t="n">
        <x:v>20.6</x:v>
      </x:c>
      <x:c r="F153" s="63" t="n">
        <x:v>18</x:v>
      </x:c>
      <x:c r="G153" s="63" t="n">
        <x:v>32.7</x:v>
      </x:c>
      <x:c r="H153" s="63" t="n">
        <x:v>64</x:v>
      </x:c>
      <x:c r="I153" s="63" t="n">
        <x:v>66</x:v>
      </x:c>
      <x:c r="J153" s="63" t="n">
        <x:v>70</x:v>
      </x:c>
      <x:c r="K153" s="63" t="n">
        <x:v>56</x:v>
      </x:c>
      <x:c r="L153" s="63" t="n">
        <x:v>27.2</x:v>
      </x:c>
      <x:c r="M153" s="63" t="n">
        <x:v>28.5</x:v>
      </x:c>
      <x:c r="N153" s="63" t="n">
        <x:v>34.5</x:v>
      </x:c>
      <x:c r="O153" s="63" t="n">
        <x:v>0</x:v>
      </x:c>
      <x:c r="P153" s="42" t="str">
        <x:v>模拟数据/方法演示</x:v>
      </x:c>
    </x:row>
    <x:row r="154">
      <x:c r="A154" s="42" t="str">
        <x:v>对照城市A-demo</x:v>
      </x:c>
      <x:c r="B154" s="42" t="str">
        <x:v>对照城市A</x:v>
      </x:c>
      <x:c r="C154" s="42" t="str">
        <x:v>对照组模板</x:v>
      </x:c>
      <x:c r="D154" s="63" t="n">
        <x:v>-5</x:v>
      </x:c>
      <x:c r="E154" s="63" t="n">
        <x:v>16.1</x:v>
      </x:c>
      <x:c r="F154" s="63" t="n">
        <x:v>23.1</x:v>
      </x:c>
      <x:c r="G154" s="63" t="n">
        <x:v>29.4</x:v>
      </x:c>
      <x:c r="H154" s="63" t="n">
        <x:v>64</x:v>
      </x:c>
      <x:c r="I154" s="63" t="n">
        <x:v>66</x:v>
      </x:c>
      <x:c r="J154" s="63" t="n">
        <x:v>70</x:v>
      </x:c>
      <x:c r="K154" s="63" t="n">
        <x:v>56</x:v>
      </x:c>
      <x:c r="L154" s="63" t="n">
        <x:v>29.1</x:v>
      </x:c>
      <x:c r="M154" s="63" t="n">
        <x:v>22.7</x:v>
      </x:c>
      <x:c r="N154" s="63" t="n">
        <x:v>35.1</x:v>
      </x:c>
      <x:c r="O154" s="63" t="n">
        <x:v>0</x:v>
      </x:c>
      <x:c r="P154" s="42" t="str">
        <x:v>模拟数据/方法演示</x:v>
      </x:c>
    </x:row>
    <x:row r="155">
      <x:c r="A155" s="42" t="str">
        <x:v>对照城市A-demo</x:v>
      </x:c>
      <x:c r="B155" s="42" t="str">
        <x:v>对照城市A</x:v>
      </x:c>
      <x:c r="C155" s="42" t="str">
        <x:v>对照组模板</x:v>
      </x:c>
      <x:c r="D155" s="63" t="n">
        <x:v>-4</x:v>
      </x:c>
      <x:c r="E155" s="63" t="n">
        <x:v>24.8</x:v>
      </x:c>
      <x:c r="F155" s="63" t="n">
        <x:v>18.3</x:v>
      </x:c>
      <x:c r="G155" s="63" t="n">
        <x:v>31.6</x:v>
      </x:c>
      <x:c r="H155" s="63" t="n">
        <x:v>64</x:v>
      </x:c>
      <x:c r="I155" s="63" t="n">
        <x:v>66</x:v>
      </x:c>
      <x:c r="J155" s="63" t="n">
        <x:v>70</x:v>
      </x:c>
      <x:c r="K155" s="63" t="n">
        <x:v>56</x:v>
      </x:c>
      <x:c r="L155" s="63" t="n">
        <x:v>26.9</x:v>
      </x:c>
      <x:c r="M155" s="63" t="n">
        <x:v>23.7</x:v>
      </x:c>
      <x:c r="N155" s="63" t="n">
        <x:v>36</x:v>
      </x:c>
      <x:c r="O155" s="63" t="n">
        <x:v>0</x:v>
      </x:c>
      <x:c r="P155" s="42" t="str">
        <x:v>模拟数据/方法演示</x:v>
      </x:c>
    </x:row>
    <x:row r="156">
      <x:c r="A156" s="42" t="str">
        <x:v>对照城市A-demo</x:v>
      </x:c>
      <x:c r="B156" s="42" t="str">
        <x:v>对照城市A</x:v>
      </x:c>
      <x:c r="C156" s="42" t="str">
        <x:v>对照组模板</x:v>
      </x:c>
      <x:c r="D156" s="63" t="n">
        <x:v>-3</x:v>
      </x:c>
      <x:c r="E156" s="63" t="n">
        <x:v>30</x:v>
      </x:c>
      <x:c r="F156" s="63" t="n">
        <x:v>23.3</x:v>
      </x:c>
      <x:c r="G156" s="63" t="n">
        <x:v>32.2</x:v>
      </x:c>
      <x:c r="H156" s="63" t="n">
        <x:v>64</x:v>
      </x:c>
      <x:c r="I156" s="63" t="n">
        <x:v>66</x:v>
      </x:c>
      <x:c r="J156" s="63" t="n">
        <x:v>70</x:v>
      </x:c>
      <x:c r="K156" s="63" t="n">
        <x:v>56</x:v>
      </x:c>
      <x:c r="L156" s="63" t="n">
        <x:v>26.4</x:v>
      </x:c>
      <x:c r="M156" s="63" t="n">
        <x:v>27.7</x:v>
      </x:c>
      <x:c r="N156" s="63" t="n">
        <x:v>37.5</x:v>
      </x:c>
      <x:c r="O156" s="63" t="n">
        <x:v>0</x:v>
      </x:c>
      <x:c r="P156" s="42" t="str">
        <x:v>模拟数据/方法演示</x:v>
      </x:c>
    </x:row>
    <x:row r="157">
      <x:c r="A157" s="42" t="str">
        <x:v>对照城市A-demo</x:v>
      </x:c>
      <x:c r="B157" s="42" t="str">
        <x:v>对照城市A</x:v>
      </x:c>
      <x:c r="C157" s="42" t="str">
        <x:v>对照组模板</x:v>
      </x:c>
      <x:c r="D157" s="63" t="n">
        <x:v>-2</x:v>
      </x:c>
      <x:c r="E157" s="63" t="n">
        <x:v>22.7</x:v>
      </x:c>
      <x:c r="F157" s="63" t="n">
        <x:v>23.4</x:v>
      </x:c>
      <x:c r="G157" s="63" t="n">
        <x:v>35.1</x:v>
      </x:c>
      <x:c r="H157" s="63" t="n">
        <x:v>64</x:v>
      </x:c>
      <x:c r="I157" s="63" t="n">
        <x:v>66</x:v>
      </x:c>
      <x:c r="J157" s="63" t="n">
        <x:v>70</x:v>
      </x:c>
      <x:c r="K157" s="63" t="n">
        <x:v>56</x:v>
      </x:c>
      <x:c r="L157" s="63" t="n">
        <x:v>27.6</x:v>
      </x:c>
      <x:c r="M157" s="63" t="n">
        <x:v>22</x:v>
      </x:c>
      <x:c r="N157" s="63" t="n">
        <x:v>37.2</x:v>
      </x:c>
      <x:c r="O157" s="63" t="n">
        <x:v>0</x:v>
      </x:c>
      <x:c r="P157" s="42" t="str">
        <x:v>模拟数据/方法演示</x:v>
      </x:c>
    </x:row>
    <x:row r="158">
      <x:c r="A158" s="42" t="str">
        <x:v>对照城市A-demo</x:v>
      </x:c>
      <x:c r="B158" s="42" t="str">
        <x:v>对照城市A</x:v>
      </x:c>
      <x:c r="C158" s="42" t="str">
        <x:v>对照组模板</x:v>
      </x:c>
      <x:c r="D158" s="63" t="n">
        <x:v>-1</x:v>
      </x:c>
      <x:c r="E158" s="63" t="n">
        <x:v>26.3</x:v>
      </x:c>
      <x:c r="F158" s="63" t="n">
        <x:v>22.1</x:v>
      </x:c>
      <x:c r="G158" s="63" t="n">
        <x:v>29</x:v>
      </x:c>
      <x:c r="H158" s="63" t="n">
        <x:v>64</x:v>
      </x:c>
      <x:c r="I158" s="63" t="n">
        <x:v>66</x:v>
      </x:c>
      <x:c r="J158" s="63" t="n">
        <x:v>70</x:v>
      </x:c>
      <x:c r="K158" s="63" t="n">
        <x:v>56</x:v>
      </x:c>
      <x:c r="L158" s="63" t="n">
        <x:v>30.7</x:v>
      </x:c>
      <x:c r="M158" s="63" t="n">
        <x:v>21.4</x:v>
      </x:c>
      <x:c r="N158" s="63" t="n">
        <x:v>37.5</x:v>
      </x:c>
      <x:c r="O158" s="63" t="n">
        <x:v>0</x:v>
      </x:c>
      <x:c r="P158" s="42" t="str">
        <x:v>模拟数据/方法演示</x:v>
      </x:c>
    </x:row>
    <x:row r="159">
      <x:c r="A159" s="42" t="str">
        <x:v>对照城市A-demo</x:v>
      </x:c>
      <x:c r="B159" s="42" t="str">
        <x:v>对照城市A</x:v>
      </x:c>
      <x:c r="C159" s="42" t="str">
        <x:v>对照组模板</x:v>
      </x:c>
      <x:c r="D159" s="63" t="n">
        <x:v>0</x:v>
      </x:c>
      <x:c r="E159" s="63" t="n">
        <x:v>26.2</x:v>
      </x:c>
      <x:c r="F159" s="63" t="n">
        <x:v>26.1</x:v>
      </x:c>
      <x:c r="G159" s="63" t="n">
        <x:v>25.8</x:v>
      </x:c>
      <x:c r="H159" s="63" t="n">
        <x:v>64</x:v>
      </x:c>
      <x:c r="I159" s="63" t="n">
        <x:v>66</x:v>
      </x:c>
      <x:c r="J159" s="63" t="n">
        <x:v>70</x:v>
      </x:c>
      <x:c r="K159" s="63" t="n">
        <x:v>56</x:v>
      </x:c>
      <x:c r="L159" s="63" t="n">
        <x:v>29.1</x:v>
      </x:c>
      <x:c r="M159" s="63" t="n">
        <x:v>21.3</x:v>
      </x:c>
      <x:c r="N159" s="63" t="n">
        <x:v>37.6</x:v>
      </x:c>
      <x:c r="O159" s="63" t="n">
        <x:v>0</x:v>
      </x:c>
      <x:c r="P159" s="42" t="str">
        <x:v>模拟数据/方法演示</x:v>
      </x:c>
    </x:row>
    <x:row r="160">
      <x:c r="A160" s="42" t="str">
        <x:v>对照城市A-demo</x:v>
      </x:c>
      <x:c r="B160" s="42" t="str">
        <x:v>对照城市A</x:v>
      </x:c>
      <x:c r="C160" s="42" t="str">
        <x:v>对照组模板</x:v>
      </x:c>
      <x:c r="D160" s="63" t="n">
        <x:v>1</x:v>
      </x:c>
      <x:c r="E160" s="63" t="n">
        <x:v>32.3</x:v>
      </x:c>
      <x:c r="F160" s="63" t="n">
        <x:v>25.2</x:v>
      </x:c>
      <x:c r="G160" s="63" t="n">
        <x:v>28.5</x:v>
      </x:c>
      <x:c r="H160" s="63" t="n">
        <x:v>64</x:v>
      </x:c>
      <x:c r="I160" s="63" t="n">
        <x:v>66</x:v>
      </x:c>
      <x:c r="J160" s="63" t="n">
        <x:v>70</x:v>
      </x:c>
      <x:c r="K160" s="63" t="n">
        <x:v>56</x:v>
      </x:c>
      <x:c r="L160" s="63" t="n">
        <x:v>25.2</x:v>
      </x:c>
      <x:c r="M160" s="63" t="n">
        <x:v>22.3</x:v>
      </x:c>
      <x:c r="N160" s="63" t="n">
        <x:v>38.6</x:v>
      </x:c>
      <x:c r="O160" s="63" t="n">
        <x:v>0</x:v>
      </x:c>
      <x:c r="P160" s="42" t="str">
        <x:v>模拟数据/方法演示</x:v>
      </x:c>
    </x:row>
    <x:row r="161">
      <x:c r="A161" s="42" t="str">
        <x:v>对照城市A-demo</x:v>
      </x:c>
      <x:c r="B161" s="42" t="str">
        <x:v>对照城市A</x:v>
      </x:c>
      <x:c r="C161" s="42" t="str">
        <x:v>对照组模板</x:v>
      </x:c>
      <x:c r="D161" s="63" t="n">
        <x:v>2</x:v>
      </x:c>
      <x:c r="E161" s="63" t="n">
        <x:v>30</x:v>
      </x:c>
      <x:c r="F161" s="63" t="n">
        <x:v>28.7</x:v>
      </x:c>
      <x:c r="G161" s="63" t="n">
        <x:v>28.7</x:v>
      </x:c>
      <x:c r="H161" s="63" t="n">
        <x:v>64</x:v>
      </x:c>
      <x:c r="I161" s="63" t="n">
        <x:v>66</x:v>
      </x:c>
      <x:c r="J161" s="63" t="n">
        <x:v>70</x:v>
      </x:c>
      <x:c r="K161" s="63" t="n">
        <x:v>56</x:v>
      </x:c>
      <x:c r="L161" s="63" t="n">
        <x:v>26.8</x:v>
      </x:c>
      <x:c r="M161" s="63" t="n">
        <x:v>25</x:v>
      </x:c>
      <x:c r="N161" s="63" t="n">
        <x:v>38.5</x:v>
      </x:c>
      <x:c r="O161" s="63" t="n">
        <x:v>0</x:v>
      </x:c>
      <x:c r="P161" s="42" t="str">
        <x:v>模拟数据/方法演示</x:v>
      </x:c>
    </x:row>
    <x:row r="162">
      <x:c r="A162" s="42" t="str">
        <x:v>对照城市A-demo</x:v>
      </x:c>
      <x:c r="B162" s="42" t="str">
        <x:v>对照城市A</x:v>
      </x:c>
      <x:c r="C162" s="42" t="str">
        <x:v>对照组模板</x:v>
      </x:c>
      <x:c r="D162" s="63" t="n">
        <x:v>3</x:v>
      </x:c>
      <x:c r="E162" s="63" t="n">
        <x:v>32.2</x:v>
      </x:c>
      <x:c r="F162" s="63" t="n">
        <x:v>25.8</x:v>
      </x:c>
      <x:c r="G162" s="63" t="n">
        <x:v>23.9</x:v>
      </x:c>
      <x:c r="H162" s="63" t="n">
        <x:v>64</x:v>
      </x:c>
      <x:c r="I162" s="63" t="n">
        <x:v>66</x:v>
      </x:c>
      <x:c r="J162" s="63" t="n">
        <x:v>70</x:v>
      </x:c>
      <x:c r="K162" s="63" t="n">
        <x:v>56</x:v>
      </x:c>
      <x:c r="L162" s="63" t="n">
        <x:v>24.1</x:v>
      </x:c>
      <x:c r="M162" s="63" t="n">
        <x:v>26.6</x:v>
      </x:c>
      <x:c r="N162" s="63" t="n">
        <x:v>37.4</x:v>
      </x:c>
      <x:c r="O162" s="63" t="n">
        <x:v>0</x:v>
      </x:c>
      <x:c r="P162" s="42" t="str">
        <x:v>模拟数据/方法演示</x:v>
      </x:c>
    </x:row>
    <x:row r="163">
      <x:c r="A163" s="42" t="str">
        <x:v>对照城市A-demo</x:v>
      </x:c>
      <x:c r="B163" s="42" t="str">
        <x:v>对照城市A</x:v>
      </x:c>
      <x:c r="C163" s="42" t="str">
        <x:v>对照组模板</x:v>
      </x:c>
      <x:c r="D163" s="63" t="n">
        <x:v>4</x:v>
      </x:c>
      <x:c r="E163" s="63" t="n">
        <x:v>31.1</x:v>
      </x:c>
      <x:c r="F163" s="63" t="n">
        <x:v>25</x:v>
      </x:c>
      <x:c r="G163" s="63" t="n">
        <x:v>29.4</x:v>
      </x:c>
      <x:c r="H163" s="63" t="n">
        <x:v>64</x:v>
      </x:c>
      <x:c r="I163" s="63" t="n">
        <x:v>66</x:v>
      </x:c>
      <x:c r="J163" s="63" t="n">
        <x:v>70</x:v>
      </x:c>
      <x:c r="K163" s="63" t="n">
        <x:v>56</x:v>
      </x:c>
      <x:c r="L163" s="63" t="n">
        <x:v>27.8</x:v>
      </x:c>
      <x:c r="M163" s="63" t="n">
        <x:v>22.8</x:v>
      </x:c>
      <x:c r="N163" s="63" t="n">
        <x:v>38.6</x:v>
      </x:c>
      <x:c r="O163" s="63" t="n">
        <x:v>0</x:v>
      </x:c>
      <x:c r="P163" s="42" t="str">
        <x:v>模拟数据/方法演示</x:v>
      </x:c>
    </x:row>
    <x:row r="164">
      <x:c r="A164" s="42" t="str">
        <x:v>对照城市A-demo</x:v>
      </x:c>
      <x:c r="B164" s="42" t="str">
        <x:v>对照城市A</x:v>
      </x:c>
      <x:c r="C164" s="42" t="str">
        <x:v>对照组模板</x:v>
      </x:c>
      <x:c r="D164" s="63" t="n">
        <x:v>5</x:v>
      </x:c>
      <x:c r="E164" s="63" t="n">
        <x:v>29.1</x:v>
      </x:c>
      <x:c r="F164" s="63" t="n">
        <x:v>25.4</x:v>
      </x:c>
      <x:c r="G164" s="63" t="n">
        <x:v>26.2</x:v>
      </x:c>
      <x:c r="H164" s="63" t="n">
        <x:v>64</x:v>
      </x:c>
      <x:c r="I164" s="63" t="n">
        <x:v>66</x:v>
      </x:c>
      <x:c r="J164" s="63" t="n">
        <x:v>70</x:v>
      </x:c>
      <x:c r="K164" s="63" t="n">
        <x:v>56</x:v>
      </x:c>
      <x:c r="L164" s="63" t="n">
        <x:v>33.8</x:v>
      </x:c>
      <x:c r="M164" s="63" t="n">
        <x:v>25.2</x:v>
      </x:c>
      <x:c r="N164" s="63" t="n">
        <x:v>38.1</x:v>
      </x:c>
      <x:c r="O164" s="63" t="n">
        <x:v>0</x:v>
      </x:c>
      <x:c r="P164" s="42" t="str">
        <x:v>模拟数据/方法演示</x:v>
      </x:c>
    </x:row>
    <x:row r="165">
      <x:c r="A165" s="42" t="str">
        <x:v>对照城市A-demo</x:v>
      </x:c>
      <x:c r="B165" s="42" t="str">
        <x:v>对照城市A</x:v>
      </x:c>
      <x:c r="C165" s="42" t="str">
        <x:v>对照组模板</x:v>
      </x:c>
      <x:c r="D165" s="63" t="n">
        <x:v>6</x:v>
      </x:c>
      <x:c r="E165" s="63" t="n">
        <x:v>25.5</x:v>
      </x:c>
      <x:c r="F165" s="63" t="n">
        <x:v>24.8</x:v>
      </x:c>
      <x:c r="G165" s="63" t="n">
        <x:v>32.2</x:v>
      </x:c>
      <x:c r="H165" s="63" t="n">
        <x:v>64</x:v>
      </x:c>
      <x:c r="I165" s="63" t="n">
        <x:v>66</x:v>
      </x:c>
      <x:c r="J165" s="63" t="n">
        <x:v>70</x:v>
      </x:c>
      <x:c r="K165" s="63" t="n">
        <x:v>56</x:v>
      </x:c>
      <x:c r="L165" s="63" t="n">
        <x:v>32.3</x:v>
      </x:c>
      <x:c r="M165" s="63" t="n">
        <x:v>24.4</x:v>
      </x:c>
      <x:c r="N165" s="63" t="n">
        <x:v>37.9</x:v>
      </x:c>
      <x:c r="O165" s="63" t="n">
        <x:v>0</x:v>
      </x:c>
      <x:c r="P165" s="42" t="str">
        <x:v>模拟数据/方法演示</x:v>
      </x:c>
    </x:row>
    <x:row r="166">
      <x:c r="A166" s="42" t="str">
        <x:v>对照城市A-demo</x:v>
      </x:c>
      <x:c r="B166" s="42" t="str">
        <x:v>对照城市A</x:v>
      </x:c>
      <x:c r="C166" s="42" t="str">
        <x:v>对照组模板</x:v>
      </x:c>
      <x:c r="D166" s="63" t="n">
        <x:v>7</x:v>
      </x:c>
      <x:c r="E166" s="63" t="n">
        <x:v>23.7</x:v>
      </x:c>
      <x:c r="F166" s="63" t="n">
        <x:v>20.5</x:v>
      </x:c>
      <x:c r="G166" s="63" t="n">
        <x:v>30.7</x:v>
      </x:c>
      <x:c r="H166" s="63" t="n">
        <x:v>64</x:v>
      </x:c>
      <x:c r="I166" s="63" t="n">
        <x:v>66</x:v>
      </x:c>
      <x:c r="J166" s="63" t="n">
        <x:v>70</x:v>
      </x:c>
      <x:c r="K166" s="63" t="n">
        <x:v>56</x:v>
      </x:c>
      <x:c r="L166" s="63" t="n">
        <x:v>33.8</x:v>
      </x:c>
      <x:c r="M166" s="63" t="n">
        <x:v>25.7</x:v>
      </x:c>
      <x:c r="N166" s="63" t="n">
        <x:v>36.5</x:v>
      </x:c>
      <x:c r="O166" s="63" t="n">
        <x:v>0</x:v>
      </x:c>
      <x:c r="P166" s="42" t="str">
        <x:v>模拟数据/方法演示</x:v>
      </x:c>
    </x:row>
    <x:row r="167">
      <x:c r="A167" s="42" t="str">
        <x:v>对照城市A-demo</x:v>
      </x:c>
      <x:c r="B167" s="42" t="str">
        <x:v>对照城市A</x:v>
      </x:c>
      <x:c r="C167" s="42" t="str">
        <x:v>对照组模板</x:v>
      </x:c>
      <x:c r="D167" s="63" t="n">
        <x:v>8</x:v>
      </x:c>
      <x:c r="E167" s="63" t="n">
        <x:v>23.3</x:v>
      </x:c>
      <x:c r="F167" s="63" t="n">
        <x:v>22.5</x:v>
      </x:c>
      <x:c r="G167" s="63" t="n">
        <x:v>34.5</x:v>
      </x:c>
      <x:c r="H167" s="63" t="n">
        <x:v>64</x:v>
      </x:c>
      <x:c r="I167" s="63" t="n">
        <x:v>66</x:v>
      </x:c>
      <x:c r="J167" s="63" t="n">
        <x:v>70</x:v>
      </x:c>
      <x:c r="K167" s="63" t="n">
        <x:v>56</x:v>
      </x:c>
      <x:c r="L167" s="63" t="n">
        <x:v>29.5</x:v>
      </x:c>
      <x:c r="M167" s="63" t="n">
        <x:v>25.3</x:v>
      </x:c>
      <x:c r="N167" s="63" t="n">
        <x:v>36.8</x:v>
      </x:c>
      <x:c r="O167" s="63" t="n">
        <x:v>0</x:v>
      </x:c>
      <x:c r="P167" s="42" t="str">
        <x:v>模拟数据/方法演示</x:v>
      </x:c>
    </x:row>
    <x:row r="168">
      <x:c r="A168" s="42" t="str">
        <x:v>对照城市A-demo</x:v>
      </x:c>
      <x:c r="B168" s="42" t="str">
        <x:v>对照城市A</x:v>
      </x:c>
      <x:c r="C168" s="42" t="str">
        <x:v>对照组模板</x:v>
      </x:c>
      <x:c r="D168" s="63" t="n">
        <x:v>9</x:v>
      </x:c>
      <x:c r="E168" s="63" t="n">
        <x:v>20.4</x:v>
      </x:c>
      <x:c r="F168" s="63" t="n">
        <x:v>23.6</x:v>
      </x:c>
      <x:c r="G168" s="63" t="n">
        <x:v>33.1</x:v>
      </x:c>
      <x:c r="H168" s="63" t="n">
        <x:v>64</x:v>
      </x:c>
      <x:c r="I168" s="63" t="n">
        <x:v>66</x:v>
      </x:c>
      <x:c r="J168" s="63" t="n">
        <x:v>70</x:v>
      </x:c>
      <x:c r="K168" s="63" t="n">
        <x:v>56</x:v>
      </x:c>
      <x:c r="L168" s="63" t="n">
        <x:v>27.1</x:v>
      </x:c>
      <x:c r="M168" s="63" t="n">
        <x:v>21.1</x:v>
      </x:c>
      <x:c r="N168" s="63" t="n">
        <x:v>36.6</x:v>
      </x:c>
      <x:c r="O168" s="63" t="n">
        <x:v>0</x:v>
      </x:c>
      <x:c r="P168" s="42" t="str">
        <x:v>模拟数据/方法演示</x:v>
      </x:c>
    </x:row>
    <x:row r="169">
      <x:c r="A169" s="42" t="str">
        <x:v>对照城市A-demo</x:v>
      </x:c>
      <x:c r="B169" s="42" t="str">
        <x:v>对照城市A</x:v>
      </x:c>
      <x:c r="C169" s="42" t="str">
        <x:v>对照组模板</x:v>
      </x:c>
      <x:c r="D169" s="63" t="n">
        <x:v>10</x:v>
      </x:c>
      <x:c r="E169" s="63" t="n">
        <x:v>21.3</x:v>
      </x:c>
      <x:c r="F169" s="63" t="n">
        <x:v>20</x:v>
      </x:c>
      <x:c r="G169" s="63" t="n">
        <x:v>32.2</x:v>
      </x:c>
      <x:c r="H169" s="63" t="n">
        <x:v>64</x:v>
      </x:c>
      <x:c r="I169" s="63" t="n">
        <x:v>66</x:v>
      </x:c>
      <x:c r="J169" s="63" t="n">
        <x:v>70</x:v>
      </x:c>
      <x:c r="K169" s="63" t="n">
        <x:v>56</x:v>
      </x:c>
      <x:c r="L169" s="63" t="n">
        <x:v>31.7</x:v>
      </x:c>
      <x:c r="M169" s="63" t="n">
        <x:v>22.1</x:v>
      </x:c>
      <x:c r="N169" s="63" t="n">
        <x:v>36.4</x:v>
      </x:c>
      <x:c r="O169" s="63" t="n">
        <x:v>0</x:v>
      </x:c>
      <x:c r="P169" s="42" t="str">
        <x:v>模拟数据/方法演示</x:v>
      </x:c>
    </x:row>
    <x:row r="170">
      <x:c r="A170" s="42" t="str">
        <x:v>对照城市B-demo</x:v>
      </x:c>
      <x:c r="B170" s="42" t="str">
        <x:v>对照城市B</x:v>
      </x:c>
      <x:c r="C170" s="42" t="str">
        <x:v>对照组模板</x:v>
      </x:c>
      <x:c r="D170" s="63" t="n">
        <x:v>-30</x:v>
      </x:c>
      <x:c r="E170" s="63" t="n">
        <x:v>12.9</x:v>
      </x:c>
      <x:c r="F170" s="63" t="n">
        <x:v>20.5</x:v>
      </x:c>
      <x:c r="G170" s="63" t="n">
        <x:v>33.4</x:v>
      </x:c>
      <x:c r="H170" s="63" t="n">
        <x:v>64</x:v>
      </x:c>
      <x:c r="I170" s="63" t="n">
        <x:v>66</x:v>
      </x:c>
      <x:c r="J170" s="63" t="n">
        <x:v>70</x:v>
      </x:c>
      <x:c r="K170" s="63" t="n">
        <x:v>56</x:v>
      </x:c>
      <x:c r="L170" s="63" t="n">
        <x:v>25.9</x:v>
      </x:c>
      <x:c r="M170" s="63" t="n">
        <x:v>23.8</x:v>
      </x:c>
      <x:c r="N170" s="63" t="n">
        <x:v>33.9</x:v>
      </x:c>
      <x:c r="O170" s="63" t="n">
        <x:v>0</x:v>
      </x:c>
      <x:c r="P170" s="42" t="str">
        <x:v>模拟数据/方法演示</x:v>
      </x:c>
    </x:row>
    <x:row r="171">
      <x:c r="A171" s="42" t="str">
        <x:v>对照城市B-demo</x:v>
      </x:c>
      <x:c r="B171" s="42" t="str">
        <x:v>对照城市B</x:v>
      </x:c>
      <x:c r="C171" s="42" t="str">
        <x:v>对照组模板</x:v>
      </x:c>
      <x:c r="D171" s="63" t="n">
        <x:v>-29</x:v>
      </x:c>
      <x:c r="E171" s="63" t="n">
        <x:v>25.6</x:v>
      </x:c>
      <x:c r="F171" s="63" t="n">
        <x:v>22.6</x:v>
      </x:c>
      <x:c r="G171" s="63" t="n">
        <x:v>30.9</x:v>
      </x:c>
      <x:c r="H171" s="63" t="n">
        <x:v>64</x:v>
      </x:c>
      <x:c r="I171" s="63" t="n">
        <x:v>66</x:v>
      </x:c>
      <x:c r="J171" s="63" t="n">
        <x:v>70</x:v>
      </x:c>
      <x:c r="K171" s="63" t="n">
        <x:v>56</x:v>
      </x:c>
      <x:c r="L171" s="63" t="n">
        <x:v>29.6</x:v>
      </x:c>
      <x:c r="M171" s="63" t="n">
        <x:v>22.9</x:v>
      </x:c>
      <x:c r="N171" s="63" t="n">
        <x:v>37.3</x:v>
      </x:c>
      <x:c r="O171" s="63" t="n">
        <x:v>0</x:v>
      </x:c>
      <x:c r="P171" s="42" t="str">
        <x:v>模拟数据/方法演示</x:v>
      </x:c>
    </x:row>
    <x:row r="172">
      <x:c r="A172" s="42" t="str">
        <x:v>对照城市B-demo</x:v>
      </x:c>
      <x:c r="B172" s="42" t="str">
        <x:v>对照城市B</x:v>
      </x:c>
      <x:c r="C172" s="42" t="str">
        <x:v>对照组模板</x:v>
      </x:c>
      <x:c r="D172" s="63" t="n">
        <x:v>-28</x:v>
      </x:c>
      <x:c r="E172" s="63" t="n">
        <x:v>22.7</x:v>
      </x:c>
      <x:c r="F172" s="63" t="n">
        <x:v>23.3</x:v>
      </x:c>
      <x:c r="G172" s="63" t="n">
        <x:v>30.9</x:v>
      </x:c>
      <x:c r="H172" s="63" t="n">
        <x:v>64</x:v>
      </x:c>
      <x:c r="I172" s="63" t="n">
        <x:v>66</x:v>
      </x:c>
      <x:c r="J172" s="63" t="n">
        <x:v>70</x:v>
      </x:c>
      <x:c r="K172" s="63" t="n">
        <x:v>56</x:v>
      </x:c>
      <x:c r="L172" s="63" t="n">
        <x:v>27.2</x:v>
      </x:c>
      <x:c r="M172" s="63" t="n">
        <x:v>23.9</x:v>
      </x:c>
      <x:c r="N172" s="63" t="n">
        <x:v>36.4</x:v>
      </x:c>
      <x:c r="O172" s="63" t="n">
        <x:v>0</x:v>
      </x:c>
      <x:c r="P172" s="42" t="str">
        <x:v>模拟数据/方法演示</x:v>
      </x:c>
    </x:row>
    <x:row r="173">
      <x:c r="A173" s="42" t="str">
        <x:v>对照城市B-demo</x:v>
      </x:c>
      <x:c r="B173" s="42" t="str">
        <x:v>对照城市B</x:v>
      </x:c>
      <x:c r="C173" s="42" t="str">
        <x:v>对照组模板</x:v>
      </x:c>
      <x:c r="D173" s="63" t="n">
        <x:v>-27</x:v>
      </x:c>
      <x:c r="E173" s="63" t="n">
        <x:v>26.3</x:v>
      </x:c>
      <x:c r="F173" s="63" t="n">
        <x:v>20.2</x:v>
      </x:c>
      <x:c r="G173" s="63" t="n">
        <x:v>31.6</x:v>
      </x:c>
      <x:c r="H173" s="63" t="n">
        <x:v>64</x:v>
      </x:c>
      <x:c r="I173" s="63" t="n">
        <x:v>66</x:v>
      </x:c>
      <x:c r="J173" s="63" t="n">
        <x:v>70</x:v>
      </x:c>
      <x:c r="K173" s="63" t="n">
        <x:v>56</x:v>
      </x:c>
      <x:c r="L173" s="63" t="n">
        <x:v>31.1</x:v>
      </x:c>
      <x:c r="M173" s="63" t="n">
        <x:v>22.2</x:v>
      </x:c>
      <x:c r="N173" s="63" t="n">
        <x:v>37.4</x:v>
      </x:c>
      <x:c r="O173" s="63" t="n">
        <x:v>0</x:v>
      </x:c>
      <x:c r="P173" s="42" t="str">
        <x:v>模拟数据/方法演示</x:v>
      </x:c>
    </x:row>
    <x:row r="174">
      <x:c r="A174" s="42" t="str">
        <x:v>对照城市B-demo</x:v>
      </x:c>
      <x:c r="B174" s="42" t="str">
        <x:v>对照城市B</x:v>
      </x:c>
      <x:c r="C174" s="42" t="str">
        <x:v>对照组模板</x:v>
      </x:c>
      <x:c r="D174" s="63" t="n">
        <x:v>-26</x:v>
      </x:c>
      <x:c r="E174" s="63" t="n">
        <x:v>26</x:v>
      </x:c>
      <x:c r="F174" s="63" t="n">
        <x:v>17.8</x:v>
      </x:c>
      <x:c r="G174" s="63" t="n">
        <x:v>26.1</x:v>
      </x:c>
      <x:c r="H174" s="63" t="n">
        <x:v>64</x:v>
      </x:c>
      <x:c r="I174" s="63" t="n">
        <x:v>66</x:v>
      </x:c>
      <x:c r="J174" s="63" t="n">
        <x:v>70</x:v>
      </x:c>
      <x:c r="K174" s="63" t="n">
        <x:v>56</x:v>
      </x:c>
      <x:c r="L174" s="63" t="n">
        <x:v>28.6</x:v>
      </x:c>
      <x:c r="M174" s="63" t="n">
        <x:v>21.4</x:v>
      </x:c>
      <x:c r="N174" s="63" t="n">
        <x:v>36.1</x:v>
      </x:c>
      <x:c r="O174" s="63" t="n">
        <x:v>0</x:v>
      </x:c>
      <x:c r="P174" s="42" t="str">
        <x:v>模拟数据/方法演示</x:v>
      </x:c>
    </x:row>
    <x:row r="175">
      <x:c r="A175" s="42" t="str">
        <x:v>对照城市B-demo</x:v>
      </x:c>
      <x:c r="B175" s="42" t="str">
        <x:v>对照城市B</x:v>
      </x:c>
      <x:c r="C175" s="42" t="str">
        <x:v>对照组模板</x:v>
      </x:c>
      <x:c r="D175" s="63" t="n">
        <x:v>-25</x:v>
      </x:c>
      <x:c r="E175" s="63" t="n">
        <x:v>23.8</x:v>
      </x:c>
      <x:c r="F175" s="63" t="n">
        <x:v>23.2</x:v>
      </x:c>
      <x:c r="G175" s="63" t="n">
        <x:v>26.6</x:v>
      </x:c>
      <x:c r="H175" s="63" t="n">
        <x:v>64</x:v>
      </x:c>
      <x:c r="I175" s="63" t="n">
        <x:v>66</x:v>
      </x:c>
      <x:c r="J175" s="63" t="n">
        <x:v>70</x:v>
      </x:c>
      <x:c r="K175" s="63" t="n">
        <x:v>56</x:v>
      </x:c>
      <x:c r="L175" s="63" t="n">
        <x:v>29</x:v>
      </x:c>
      <x:c r="M175" s="63" t="n">
        <x:v>20.7</x:v>
      </x:c>
      <x:c r="N175" s="63" t="n">
        <x:v>36.8</x:v>
      </x:c>
      <x:c r="O175" s="63" t="n">
        <x:v>0</x:v>
      </x:c>
      <x:c r="P175" s="42" t="str">
        <x:v>模拟数据/方法演示</x:v>
      </x:c>
    </x:row>
    <x:row r="176">
      <x:c r="A176" s="42" t="str">
        <x:v>对照城市B-demo</x:v>
      </x:c>
      <x:c r="B176" s="42" t="str">
        <x:v>对照城市B</x:v>
      </x:c>
      <x:c r="C176" s="42" t="str">
        <x:v>对照组模板</x:v>
      </x:c>
      <x:c r="D176" s="63" t="n">
        <x:v>-24</x:v>
      </x:c>
      <x:c r="E176" s="63" t="n">
        <x:v>24.4</x:v>
      </x:c>
      <x:c r="F176" s="63" t="n">
        <x:v>19</x:v>
      </x:c>
      <x:c r="G176" s="63" t="n">
        <x:v>30.6</x:v>
      </x:c>
      <x:c r="H176" s="63" t="n">
        <x:v>64</x:v>
      </x:c>
      <x:c r="I176" s="63" t="n">
        <x:v>66</x:v>
      </x:c>
      <x:c r="J176" s="63" t="n">
        <x:v>70</x:v>
      </x:c>
      <x:c r="K176" s="63" t="n">
        <x:v>56</x:v>
      </x:c>
      <x:c r="L176" s="63" t="n">
        <x:v>28.3</x:v>
      </x:c>
      <x:c r="M176" s="63" t="n">
        <x:v>24</x:v>
      </x:c>
      <x:c r="N176" s="63" t="n">
        <x:v>36</x:v>
      </x:c>
      <x:c r="O176" s="63" t="n">
        <x:v>0</x:v>
      </x:c>
      <x:c r="P176" s="42" t="str">
        <x:v>模拟数据/方法演示</x:v>
      </x:c>
    </x:row>
    <x:row r="177">
      <x:c r="A177" s="42" t="str">
        <x:v>对照城市B-demo</x:v>
      </x:c>
      <x:c r="B177" s="42" t="str">
        <x:v>对照城市B</x:v>
      </x:c>
      <x:c r="C177" s="42" t="str">
        <x:v>对照组模板</x:v>
      </x:c>
      <x:c r="D177" s="63" t="n">
        <x:v>-23</x:v>
      </x:c>
      <x:c r="E177" s="63" t="n">
        <x:v>29.3</x:v>
      </x:c>
      <x:c r="F177" s="63" t="n">
        <x:v>20</x:v>
      </x:c>
      <x:c r="G177" s="63" t="n">
        <x:v>32.4</x:v>
      </x:c>
      <x:c r="H177" s="63" t="n">
        <x:v>64</x:v>
      </x:c>
      <x:c r="I177" s="63" t="n">
        <x:v>66</x:v>
      </x:c>
      <x:c r="J177" s="63" t="n">
        <x:v>70</x:v>
      </x:c>
      <x:c r="K177" s="63" t="n">
        <x:v>56</x:v>
      </x:c>
      <x:c r="L177" s="63" t="n">
        <x:v>30.4</x:v>
      </x:c>
      <x:c r="M177" s="63" t="n">
        <x:v>25.1</x:v>
      </x:c>
      <x:c r="N177" s="63" t="n">
        <x:v>37.6</x:v>
      </x:c>
      <x:c r="O177" s="63" t="n">
        <x:v>0</x:v>
      </x:c>
      <x:c r="P177" s="42" t="str">
        <x:v>模拟数据/方法演示</x:v>
      </x:c>
    </x:row>
    <x:row r="178">
      <x:c r="A178" s="42" t="str">
        <x:v>对照城市B-demo</x:v>
      </x:c>
      <x:c r="B178" s="42" t="str">
        <x:v>对照城市B</x:v>
      </x:c>
      <x:c r="C178" s="42" t="str">
        <x:v>对照组模板</x:v>
      </x:c>
      <x:c r="D178" s="63" t="n">
        <x:v>-22</x:v>
      </x:c>
      <x:c r="E178" s="63" t="n">
        <x:v>24.3</x:v>
      </x:c>
      <x:c r="F178" s="63" t="n">
        <x:v>19.3</x:v>
      </x:c>
      <x:c r="G178" s="63" t="n">
        <x:v>36.8</x:v>
      </x:c>
      <x:c r="H178" s="63" t="n">
        <x:v>64</x:v>
      </x:c>
      <x:c r="I178" s="63" t="n">
        <x:v>66</x:v>
      </x:c>
      <x:c r="J178" s="63" t="n">
        <x:v>70</x:v>
      </x:c>
      <x:c r="K178" s="63" t="n">
        <x:v>56</x:v>
      </x:c>
      <x:c r="L178" s="63" t="n">
        <x:v>25.5</x:v>
      </x:c>
      <x:c r="M178" s="63" t="n">
        <x:v>25.8</x:v>
      </x:c>
      <x:c r="N178" s="63" t="n">
        <x:v>36.3</x:v>
      </x:c>
      <x:c r="O178" s="63" t="n">
        <x:v>0</x:v>
      </x:c>
      <x:c r="P178" s="42" t="str">
        <x:v>模拟数据/方法演示</x:v>
      </x:c>
    </x:row>
    <x:row r="179">
      <x:c r="A179" s="42" t="str">
        <x:v>对照城市B-demo</x:v>
      </x:c>
      <x:c r="B179" s="42" t="str">
        <x:v>对照城市B</x:v>
      </x:c>
      <x:c r="C179" s="42" t="str">
        <x:v>对照组模板</x:v>
      </x:c>
      <x:c r="D179" s="63" t="n">
        <x:v>-21</x:v>
      </x:c>
      <x:c r="E179" s="63" t="n">
        <x:v>25.9</x:v>
      </x:c>
      <x:c r="F179" s="63" t="n">
        <x:v>15.4</x:v>
      </x:c>
      <x:c r="G179" s="63" t="n">
        <x:v>29.9</x:v>
      </x:c>
      <x:c r="H179" s="63" t="n">
        <x:v>64</x:v>
      </x:c>
      <x:c r="I179" s="63" t="n">
        <x:v>66</x:v>
      </x:c>
      <x:c r="J179" s="63" t="n">
        <x:v>70</x:v>
      </x:c>
      <x:c r="K179" s="63" t="n">
        <x:v>56</x:v>
      </x:c>
      <x:c r="L179" s="63" t="n">
        <x:v>32.4</x:v>
      </x:c>
      <x:c r="M179" s="63" t="n">
        <x:v>26.8</x:v>
      </x:c>
      <x:c r="N179" s="63" t="n">
        <x:v>35.6</x:v>
      </x:c>
      <x:c r="O179" s="63" t="n">
        <x:v>0</x:v>
      </x:c>
      <x:c r="P179" s="42" t="str">
        <x:v>模拟数据/方法演示</x:v>
      </x:c>
    </x:row>
    <x:row r="180">
      <x:c r="A180" s="42" t="str">
        <x:v>对照城市B-demo</x:v>
      </x:c>
      <x:c r="B180" s="42" t="str">
        <x:v>对照城市B</x:v>
      </x:c>
      <x:c r="C180" s="42" t="str">
        <x:v>对照组模板</x:v>
      </x:c>
      <x:c r="D180" s="63" t="n">
        <x:v>-20</x:v>
      </x:c>
      <x:c r="E180" s="63" t="n">
        <x:v>27</x:v>
      </x:c>
      <x:c r="F180" s="63" t="n">
        <x:v>13.4</x:v>
      </x:c>
      <x:c r="G180" s="63" t="n">
        <x:v>31.1</x:v>
      </x:c>
      <x:c r="H180" s="63" t="n">
        <x:v>64</x:v>
      </x:c>
      <x:c r="I180" s="63" t="n">
        <x:v>66</x:v>
      </x:c>
      <x:c r="J180" s="63" t="n">
        <x:v>70</x:v>
      </x:c>
      <x:c r="K180" s="63" t="n">
        <x:v>56</x:v>
      </x:c>
      <x:c r="L180" s="63" t="n">
        <x:v>29.5</x:v>
      </x:c>
      <x:c r="M180" s="63" t="n">
        <x:v>21.4</x:v>
      </x:c>
      <x:c r="N180" s="63" t="n">
        <x:v>36.2</x:v>
      </x:c>
      <x:c r="O180" s="63" t="n">
        <x:v>0</x:v>
      </x:c>
      <x:c r="P180" s="42" t="str">
        <x:v>模拟数据/方法演示</x:v>
      </x:c>
    </x:row>
    <x:row r="181">
      <x:c r="A181" s="42" t="str">
        <x:v>对照城市B-demo</x:v>
      </x:c>
      <x:c r="B181" s="42" t="str">
        <x:v>对照城市B</x:v>
      </x:c>
      <x:c r="C181" s="42" t="str">
        <x:v>对照组模板</x:v>
      </x:c>
      <x:c r="D181" s="63" t="n">
        <x:v>-19</x:v>
      </x:c>
      <x:c r="E181" s="63" t="n">
        <x:v>17.9</x:v>
      </x:c>
      <x:c r="F181" s="63" t="n">
        <x:v>15.7</x:v>
      </x:c>
      <x:c r="G181" s="63" t="n">
        <x:v>35.7</x:v>
      </x:c>
      <x:c r="H181" s="63" t="n">
        <x:v>64</x:v>
      </x:c>
      <x:c r="I181" s="63" t="n">
        <x:v>66</x:v>
      </x:c>
      <x:c r="J181" s="63" t="n">
        <x:v>70</x:v>
      </x:c>
      <x:c r="K181" s="63" t="n">
        <x:v>56</x:v>
      </x:c>
      <x:c r="L181" s="63" t="n">
        <x:v>30.5</x:v>
      </x:c>
      <x:c r="M181" s="63" t="n">
        <x:v>25.7</x:v>
      </x:c>
      <x:c r="N181" s="63" t="n">
        <x:v>34.6</x:v>
      </x:c>
      <x:c r="O181" s="63" t="n">
        <x:v>0</x:v>
      </x:c>
      <x:c r="P181" s="42" t="str">
        <x:v>模拟数据/方法演示</x:v>
      </x:c>
    </x:row>
    <x:row r="182">
      <x:c r="A182" s="42" t="str">
        <x:v>对照城市B-demo</x:v>
      </x:c>
      <x:c r="B182" s="42" t="str">
        <x:v>对照城市B</x:v>
      </x:c>
      <x:c r="C182" s="42" t="str">
        <x:v>对照组模板</x:v>
      </x:c>
      <x:c r="D182" s="63" t="n">
        <x:v>-18</x:v>
      </x:c>
      <x:c r="E182" s="63" t="n">
        <x:v>25</x:v>
      </x:c>
      <x:c r="F182" s="63" t="n">
        <x:v>11.5</x:v>
      </x:c>
      <x:c r="G182" s="63" t="n">
        <x:v>30.5</x:v>
      </x:c>
      <x:c r="H182" s="63" t="n">
        <x:v>64</x:v>
      </x:c>
      <x:c r="I182" s="63" t="n">
        <x:v>66</x:v>
      </x:c>
      <x:c r="J182" s="63" t="n">
        <x:v>70</x:v>
      </x:c>
      <x:c r="K182" s="63" t="n">
        <x:v>56</x:v>
      </x:c>
      <x:c r="L182" s="63" t="n">
        <x:v>27.4</x:v>
      </x:c>
      <x:c r="M182" s="63" t="n">
        <x:v>23.3</x:v>
      </x:c>
      <x:c r="N182" s="63" t="n">
        <x:v>34.8</x:v>
      </x:c>
      <x:c r="O182" s="63" t="n">
        <x:v>0</x:v>
      </x:c>
      <x:c r="P182" s="42" t="str">
        <x:v>模拟数据/方法演示</x:v>
      </x:c>
    </x:row>
    <x:row r="183">
      <x:c r="A183" s="42" t="str">
        <x:v>对照城市B-demo</x:v>
      </x:c>
      <x:c r="B183" s="42" t="str">
        <x:v>对照城市B</x:v>
      </x:c>
      <x:c r="C183" s="42" t="str">
        <x:v>对照组模板</x:v>
      </x:c>
      <x:c r="D183" s="63" t="n">
        <x:v>-17</x:v>
      </x:c>
      <x:c r="E183" s="63" t="n">
        <x:v>18.5</x:v>
      </x:c>
      <x:c r="F183" s="63" t="n">
        <x:v>10.5</x:v>
      </x:c>
      <x:c r="G183" s="63" t="n">
        <x:v>31.6</x:v>
      </x:c>
      <x:c r="H183" s="63" t="n">
        <x:v>64</x:v>
      </x:c>
      <x:c r="I183" s="63" t="n">
        <x:v>66</x:v>
      </x:c>
      <x:c r="J183" s="63" t="n">
        <x:v>70</x:v>
      </x:c>
      <x:c r="K183" s="63" t="n">
        <x:v>56</x:v>
      </x:c>
      <x:c r="L183" s="63" t="n">
        <x:v>28.8</x:v>
      </x:c>
      <x:c r="M183" s="63" t="n">
        <x:v>23.9</x:v>
      </x:c>
      <x:c r="N183" s="63" t="n">
        <x:v>33.4</x:v>
      </x:c>
      <x:c r="O183" s="63" t="n">
        <x:v>0</x:v>
      </x:c>
      <x:c r="P183" s="42" t="str">
        <x:v>模拟数据/方法演示</x:v>
      </x:c>
    </x:row>
    <x:row r="184">
      <x:c r="A184" s="42" t="str">
        <x:v>对照城市B-demo</x:v>
      </x:c>
      <x:c r="B184" s="42" t="str">
        <x:v>对照城市B</x:v>
      </x:c>
      <x:c r="C184" s="42" t="str">
        <x:v>对照组模板</x:v>
      </x:c>
      <x:c r="D184" s="63" t="n">
        <x:v>-16</x:v>
      </x:c>
      <x:c r="E184" s="63" t="n">
        <x:v>17.1</x:v>
      </x:c>
      <x:c r="F184" s="63" t="n">
        <x:v>9.5</x:v>
      </x:c>
      <x:c r="G184" s="63" t="n">
        <x:v>30.8</x:v>
      </x:c>
      <x:c r="H184" s="63" t="n">
        <x:v>64</x:v>
      </x:c>
      <x:c r="I184" s="63" t="n">
        <x:v>66</x:v>
      </x:c>
      <x:c r="J184" s="63" t="n">
        <x:v>70</x:v>
      </x:c>
      <x:c r="K184" s="63" t="n">
        <x:v>56</x:v>
      </x:c>
      <x:c r="L184" s="63" t="n">
        <x:v>31.9</x:v>
      </x:c>
      <x:c r="M184" s="63" t="n">
        <x:v>25.1</x:v>
      </x:c>
      <x:c r="N184" s="63" t="n">
        <x:v>33</x:v>
      </x:c>
      <x:c r="O184" s="63" t="n">
        <x:v>0</x:v>
      </x:c>
      <x:c r="P184" s="42" t="str">
        <x:v>模拟数据/方法演示</x:v>
      </x:c>
    </x:row>
    <x:row r="185">
      <x:c r="A185" s="42" t="str">
        <x:v>对照城市B-demo</x:v>
      </x:c>
      <x:c r="B185" s="42" t="str">
        <x:v>对照城市B</x:v>
      </x:c>
      <x:c r="C185" s="42" t="str">
        <x:v>对照组模板</x:v>
      </x:c>
      <x:c r="D185" s="63" t="n">
        <x:v>-15</x:v>
      </x:c>
      <x:c r="E185" s="63" t="n">
        <x:v>19.5</x:v>
      </x:c>
      <x:c r="F185" s="63" t="n">
        <x:v>13</x:v>
      </x:c>
      <x:c r="G185" s="63" t="n">
        <x:v>29.3</x:v>
      </x:c>
      <x:c r="H185" s="63" t="n">
        <x:v>64</x:v>
      </x:c>
      <x:c r="I185" s="63" t="n">
        <x:v>66</x:v>
      </x:c>
      <x:c r="J185" s="63" t="n">
        <x:v>70</x:v>
      </x:c>
      <x:c r="K185" s="63" t="n">
        <x:v>56</x:v>
      </x:c>
      <x:c r="L185" s="63" t="n">
        <x:v>27.5</x:v>
      </x:c>
      <x:c r="M185" s="63" t="n">
        <x:v>20.2</x:v>
      </x:c>
      <x:c r="N185" s="63" t="n">
        <x:v>34.2</x:v>
      </x:c>
      <x:c r="O185" s="63" t="n">
        <x:v>0</x:v>
      </x:c>
      <x:c r="P185" s="42" t="str">
        <x:v>模拟数据/方法演示</x:v>
      </x:c>
    </x:row>
    <x:row r="186">
      <x:c r="A186" s="42" t="str">
        <x:v>对照城市B-demo</x:v>
      </x:c>
      <x:c r="B186" s="42" t="str">
        <x:v>对照城市B</x:v>
      </x:c>
      <x:c r="C186" s="42" t="str">
        <x:v>对照组模板</x:v>
      </x:c>
      <x:c r="D186" s="63" t="n">
        <x:v>-14</x:v>
      </x:c>
      <x:c r="E186" s="63" t="n">
        <x:v>14.6</x:v>
      </x:c>
      <x:c r="F186" s="63" t="n">
        <x:v>14.5</x:v>
      </x:c>
      <x:c r="G186" s="63" t="n">
        <x:v>33.5</x:v>
      </x:c>
      <x:c r="H186" s="63" t="n">
        <x:v>64</x:v>
      </x:c>
      <x:c r="I186" s="63" t="n">
        <x:v>66</x:v>
      </x:c>
      <x:c r="J186" s="63" t="n">
        <x:v>70</x:v>
      </x:c>
      <x:c r="K186" s="63" t="n">
        <x:v>56</x:v>
      </x:c>
      <x:c r="L186" s="63" t="n">
        <x:v>32.8</x:v>
      </x:c>
      <x:c r="M186" s="63" t="n">
        <x:v>21</x:v>
      </x:c>
      <x:c r="N186" s="63" t="n">
        <x:v>34.3</x:v>
      </x:c>
      <x:c r="O186" s="63" t="n">
        <x:v>0</x:v>
      </x:c>
      <x:c r="P186" s="42" t="str">
        <x:v>模拟数据/方法演示</x:v>
      </x:c>
    </x:row>
    <x:row r="187">
      <x:c r="A187" s="42" t="str">
        <x:v>对照城市B-demo</x:v>
      </x:c>
      <x:c r="B187" s="42" t="str">
        <x:v>对照城市B</x:v>
      </x:c>
      <x:c r="C187" s="42" t="str">
        <x:v>对照组模板</x:v>
      </x:c>
      <x:c r="D187" s="63" t="n">
        <x:v>-13</x:v>
      </x:c>
      <x:c r="E187" s="63" t="n">
        <x:v>7</x:v>
      </x:c>
      <x:c r="F187" s="63" t="n">
        <x:v>17.1</x:v>
      </x:c>
      <x:c r="G187" s="63" t="n">
        <x:v>28.5</x:v>
      </x:c>
      <x:c r="H187" s="63" t="n">
        <x:v>64</x:v>
      </x:c>
      <x:c r="I187" s="63" t="n">
        <x:v>66</x:v>
      </x:c>
      <x:c r="J187" s="63" t="n">
        <x:v>70</x:v>
      </x:c>
      <x:c r="K187" s="63" t="n">
        <x:v>56</x:v>
      </x:c>
      <x:c r="L187" s="63" t="n">
        <x:v>26.8</x:v>
      </x:c>
      <x:c r="M187" s="63" t="n">
        <x:v>23</x:v>
      </x:c>
      <x:c r="N187" s="63" t="n">
        <x:v>31.6</x:v>
      </x:c>
      <x:c r="O187" s="63" t="n">
        <x:v>0</x:v>
      </x:c>
      <x:c r="P187" s="42" t="str">
        <x:v>模拟数据/方法演示</x:v>
      </x:c>
    </x:row>
    <x:row r="188">
      <x:c r="A188" s="42" t="str">
        <x:v>对照城市B-demo</x:v>
      </x:c>
      <x:c r="B188" s="42" t="str">
        <x:v>对照城市B</x:v>
      </x:c>
      <x:c r="C188" s="42" t="str">
        <x:v>对照组模板</x:v>
      </x:c>
      <x:c r="D188" s="63" t="n">
        <x:v>-12</x:v>
      </x:c>
      <x:c r="E188" s="63" t="n">
        <x:v>13.1</x:v>
      </x:c>
      <x:c r="F188" s="63" t="n">
        <x:v>16.9</x:v>
      </x:c>
      <x:c r="G188" s="63" t="n">
        <x:v>32.9</x:v>
      </x:c>
      <x:c r="H188" s="63" t="n">
        <x:v>64</x:v>
      </x:c>
      <x:c r="I188" s="63" t="n">
        <x:v>66</x:v>
      </x:c>
      <x:c r="J188" s="63" t="n">
        <x:v>70</x:v>
      </x:c>
      <x:c r="K188" s="63" t="n">
        <x:v>56</x:v>
      </x:c>
      <x:c r="L188" s="63" t="n">
        <x:v>30.4</x:v>
      </x:c>
      <x:c r="M188" s="63" t="n">
        <x:v>25</x:v>
      </x:c>
      <x:c r="N188" s="63" t="n">
        <x:v>33.5</x:v>
      </x:c>
      <x:c r="O188" s="63" t="n">
        <x:v>0</x:v>
      </x:c>
      <x:c r="P188" s="42" t="str">
        <x:v>模拟数据/方法演示</x:v>
      </x:c>
    </x:row>
    <x:row r="189">
      <x:c r="A189" s="42" t="str">
        <x:v>对照城市B-demo</x:v>
      </x:c>
      <x:c r="B189" s="42" t="str">
        <x:v>对照城市B</x:v>
      </x:c>
      <x:c r="C189" s="42" t="str">
        <x:v>对照组模板</x:v>
      </x:c>
      <x:c r="D189" s="63" t="n">
        <x:v>-11</x:v>
      </x:c>
      <x:c r="E189" s="63" t="n">
        <x:v>12</x:v>
      </x:c>
      <x:c r="F189" s="63" t="n">
        <x:v>14.6</x:v>
      </x:c>
      <x:c r="G189" s="63" t="n">
        <x:v>31.1</x:v>
      </x:c>
      <x:c r="H189" s="63" t="n">
        <x:v>64</x:v>
      </x:c>
      <x:c r="I189" s="63" t="n">
        <x:v>66</x:v>
      </x:c>
      <x:c r="J189" s="63" t="n">
        <x:v>70</x:v>
      </x:c>
      <x:c r="K189" s="63" t="n">
        <x:v>56</x:v>
      </x:c>
      <x:c r="L189" s="63" t="n">
        <x:v>28.5</x:v>
      </x:c>
      <x:c r="M189" s="63" t="n">
        <x:v>21.6</x:v>
      </x:c>
      <x:c r="N189" s="63" t="n">
        <x:v>33</x:v>
      </x:c>
      <x:c r="O189" s="63" t="n">
        <x:v>0</x:v>
      </x:c>
      <x:c r="P189" s="42" t="str">
        <x:v>模拟数据/方法演示</x:v>
      </x:c>
    </x:row>
    <x:row r="190">
      <x:c r="A190" s="42" t="str">
        <x:v>对照城市B-demo</x:v>
      </x:c>
      <x:c r="B190" s="42" t="str">
        <x:v>对照城市B</x:v>
      </x:c>
      <x:c r="C190" s="42" t="str">
        <x:v>对照组模板</x:v>
      </x:c>
      <x:c r="D190" s="63" t="n">
        <x:v>-10</x:v>
      </x:c>
      <x:c r="E190" s="63" t="n">
        <x:v>8.6</x:v>
      </x:c>
      <x:c r="F190" s="63" t="n">
        <x:v>13.2</x:v>
      </x:c>
      <x:c r="G190" s="63" t="n">
        <x:v>28.6</x:v>
      </x:c>
      <x:c r="H190" s="63" t="n">
        <x:v>64</x:v>
      </x:c>
      <x:c r="I190" s="63" t="n">
        <x:v>66</x:v>
      </x:c>
      <x:c r="J190" s="63" t="n">
        <x:v>70</x:v>
      </x:c>
      <x:c r="K190" s="63" t="n">
        <x:v>56</x:v>
      </x:c>
      <x:c r="L190" s="63" t="n">
        <x:v>31.4</x:v>
      </x:c>
      <x:c r="M190" s="63" t="n">
        <x:v>22.1</x:v>
      </x:c>
      <x:c r="N190" s="63" t="n">
        <x:v>31.9</x:v>
      </x:c>
      <x:c r="O190" s="63" t="n">
        <x:v>0</x:v>
      </x:c>
      <x:c r="P190" s="42" t="str">
        <x:v>模拟数据/方法演示</x:v>
      </x:c>
    </x:row>
    <x:row r="191">
      <x:c r="A191" s="42" t="str">
        <x:v>对照城市B-demo</x:v>
      </x:c>
      <x:c r="B191" s="42" t="str">
        <x:v>对照城市B</x:v>
      </x:c>
      <x:c r="C191" s="42" t="str">
        <x:v>对照组模板</x:v>
      </x:c>
      <x:c r="D191" s="63" t="n">
        <x:v>-9</x:v>
      </x:c>
      <x:c r="E191" s="63" t="n">
        <x:v>10.7</x:v>
      </x:c>
      <x:c r="F191" s="63" t="n">
        <x:v>17.8</x:v>
      </x:c>
      <x:c r="G191" s="63" t="n">
        <x:v>37.5</x:v>
      </x:c>
      <x:c r="H191" s="63" t="n">
        <x:v>64</x:v>
      </x:c>
      <x:c r="I191" s="63" t="n">
        <x:v>66</x:v>
      </x:c>
      <x:c r="J191" s="63" t="n">
        <x:v>70</x:v>
      </x:c>
      <x:c r="K191" s="63" t="n">
        <x:v>56</x:v>
      </x:c>
      <x:c r="L191" s="63" t="n">
        <x:v>30.5</x:v>
      </x:c>
      <x:c r="M191" s="63" t="n">
        <x:v>24.4</x:v>
      </x:c>
      <x:c r="N191" s="63" t="n">
        <x:v>33.8</x:v>
      </x:c>
      <x:c r="O191" s="63" t="n">
        <x:v>0</x:v>
      </x:c>
      <x:c r="P191" s="42" t="str">
        <x:v>模拟数据/方法演示</x:v>
      </x:c>
    </x:row>
    <x:row r="192">
      <x:c r="A192" s="42" t="str">
        <x:v>对照城市B-demo</x:v>
      </x:c>
      <x:c r="B192" s="42" t="str">
        <x:v>对照城市B</x:v>
      </x:c>
      <x:c r="C192" s="42" t="str">
        <x:v>对照组模板</x:v>
      </x:c>
      <x:c r="D192" s="63" t="n">
        <x:v>-8</x:v>
      </x:c>
      <x:c r="E192" s="63" t="n">
        <x:v>16.9</x:v>
      </x:c>
      <x:c r="F192" s="63" t="n">
        <x:v>17.4</x:v>
      </x:c>
      <x:c r="G192" s="63" t="n">
        <x:v>38.6</x:v>
      </x:c>
      <x:c r="H192" s="63" t="n">
        <x:v>64</x:v>
      </x:c>
      <x:c r="I192" s="63" t="n">
        <x:v>66</x:v>
      </x:c>
      <x:c r="J192" s="63" t="n">
        <x:v>70</x:v>
      </x:c>
      <x:c r="K192" s="63" t="n">
        <x:v>56</x:v>
      </x:c>
      <x:c r="L192" s="63" t="n">
        <x:v>25.6</x:v>
      </x:c>
      <x:c r="M192" s="63" t="n">
        <x:v>24.1</x:v>
      </x:c>
      <x:c r="N192" s="63" t="n">
        <x:v>34.8</x:v>
      </x:c>
      <x:c r="O192" s="63" t="n">
        <x:v>0</x:v>
      </x:c>
      <x:c r="P192" s="42" t="str">
        <x:v>模拟数据/方法演示</x:v>
      </x:c>
    </x:row>
    <x:row r="193">
      <x:c r="A193" s="42" t="str">
        <x:v>对照城市B-demo</x:v>
      </x:c>
      <x:c r="B193" s="42" t="str">
        <x:v>对照城市B</x:v>
      </x:c>
      <x:c r="C193" s="42" t="str">
        <x:v>对照组模板</x:v>
      </x:c>
      <x:c r="D193" s="63" t="n">
        <x:v>-7</x:v>
      </x:c>
      <x:c r="E193" s="63" t="n">
        <x:v>15.2</x:v>
      </x:c>
      <x:c r="F193" s="63" t="n">
        <x:v>18</x:v>
      </x:c>
      <x:c r="G193" s="63" t="n">
        <x:v>30</x:v>
      </x:c>
      <x:c r="H193" s="63" t="n">
        <x:v>64</x:v>
      </x:c>
      <x:c r="I193" s="63" t="n">
        <x:v>66</x:v>
      </x:c>
      <x:c r="J193" s="63" t="n">
        <x:v>70</x:v>
      </x:c>
      <x:c r="K193" s="63" t="n">
        <x:v>56</x:v>
      </x:c>
      <x:c r="L193" s="63" t="n">
        <x:v>23.1</x:v>
      </x:c>
      <x:c r="M193" s="63" t="n">
        <x:v>30</x:v>
      </x:c>
      <x:c r="N193" s="63" t="n">
        <x:v>32.4</x:v>
      </x:c>
      <x:c r="O193" s="63" t="n">
        <x:v>0</x:v>
      </x:c>
      <x:c r="P193" s="42" t="str">
        <x:v>模拟数据/方法演示</x:v>
      </x:c>
    </x:row>
    <x:row r="194">
      <x:c r="A194" s="42" t="str">
        <x:v>对照城市B-demo</x:v>
      </x:c>
      <x:c r="B194" s="42" t="str">
        <x:v>对照城市B</x:v>
      </x:c>
      <x:c r="C194" s="42" t="str">
        <x:v>对照组模板</x:v>
      </x:c>
      <x:c r="D194" s="63" t="n">
        <x:v>-6</x:v>
      </x:c>
      <x:c r="E194" s="63" t="n">
        <x:v>19.6</x:v>
      </x:c>
      <x:c r="F194" s="63" t="n">
        <x:v>13.1</x:v>
      </x:c>
      <x:c r="G194" s="63" t="n">
        <x:v>30.2</x:v>
      </x:c>
      <x:c r="H194" s="63" t="n">
        <x:v>64</x:v>
      </x:c>
      <x:c r="I194" s="63" t="n">
        <x:v>66</x:v>
      </x:c>
      <x:c r="J194" s="63" t="n">
        <x:v>70</x:v>
      </x:c>
      <x:c r="K194" s="63" t="n">
        <x:v>56</x:v>
      </x:c>
      <x:c r="L194" s="63" t="n">
        <x:v>24.8</x:v>
      </x:c>
      <x:c r="M194" s="63" t="n">
        <x:v>24.4</x:v>
      </x:c>
      <x:c r="N194" s="63" t="n">
        <x:v>33.5</x:v>
      </x:c>
      <x:c r="O194" s="63" t="n">
        <x:v>0</x:v>
      </x:c>
      <x:c r="P194" s="42" t="str">
        <x:v>模拟数据/方法演示</x:v>
      </x:c>
    </x:row>
    <x:row r="195">
      <x:c r="A195" s="42" t="str">
        <x:v>对照城市B-demo</x:v>
      </x:c>
      <x:c r="B195" s="42" t="str">
        <x:v>对照城市B</x:v>
      </x:c>
      <x:c r="C195" s="42" t="str">
        <x:v>对照组模板</x:v>
      </x:c>
      <x:c r="D195" s="63" t="n">
        <x:v>-5</x:v>
      </x:c>
      <x:c r="E195" s="63" t="n">
        <x:v>16.7</x:v>
      </x:c>
      <x:c r="F195" s="63" t="n">
        <x:v>20.8</x:v>
      </x:c>
      <x:c r="G195" s="63" t="n">
        <x:v>34.5</x:v>
      </x:c>
      <x:c r="H195" s="63" t="n">
        <x:v>64</x:v>
      </x:c>
      <x:c r="I195" s="63" t="n">
        <x:v>66</x:v>
      </x:c>
      <x:c r="J195" s="63" t="n">
        <x:v>70</x:v>
      </x:c>
      <x:c r="K195" s="63" t="n">
        <x:v>56</x:v>
      </x:c>
      <x:c r="L195" s="63" t="n">
        <x:v>26.7</x:v>
      </x:c>
      <x:c r="M195" s="63" t="n">
        <x:v>21.2</x:v>
      </x:c>
      <x:c r="N195" s="63" t="n">
        <x:v>35.4</x:v>
      </x:c>
      <x:c r="O195" s="63" t="n">
        <x:v>0</x:v>
      </x:c>
      <x:c r="P195" s="42" t="str">
        <x:v>模拟数据/方法演示</x:v>
      </x:c>
    </x:row>
    <x:row r="196">
      <x:c r="A196" s="42" t="str">
        <x:v>对照城市B-demo</x:v>
      </x:c>
      <x:c r="B196" s="42" t="str">
        <x:v>对照城市B</x:v>
      </x:c>
      <x:c r="C196" s="42" t="str">
        <x:v>对照组模板</x:v>
      </x:c>
      <x:c r="D196" s="63" t="n">
        <x:v>-4</x:v>
      </x:c>
      <x:c r="E196" s="63" t="n">
        <x:v>23.9</x:v>
      </x:c>
      <x:c r="F196" s="63" t="n">
        <x:v>20.6</x:v>
      </x:c>
      <x:c r="G196" s="63" t="n">
        <x:v>28.6</x:v>
      </x:c>
      <x:c r="H196" s="63" t="n">
        <x:v>64</x:v>
      </x:c>
      <x:c r="I196" s="63" t="n">
        <x:v>66</x:v>
      </x:c>
      <x:c r="J196" s="63" t="n">
        <x:v>70</x:v>
      </x:c>
      <x:c r="K196" s="63" t="n">
        <x:v>56</x:v>
      </x:c>
      <x:c r="L196" s="63" t="n">
        <x:v>28.9</x:v>
      </x:c>
      <x:c r="M196" s="63" t="n">
        <x:v>24.3</x:v>
      </x:c>
      <x:c r="N196" s="63" t="n">
        <x:v>36</x:v>
      </x:c>
      <x:c r="O196" s="63" t="n">
        <x:v>0</x:v>
      </x:c>
      <x:c r="P196" s="42" t="str">
        <x:v>模拟数据/方法演示</x:v>
      </x:c>
    </x:row>
    <x:row r="197">
      <x:c r="A197" s="42" t="str">
        <x:v>对照城市B-demo</x:v>
      </x:c>
      <x:c r="B197" s="42" t="str">
        <x:v>对照城市B</x:v>
      </x:c>
      <x:c r="C197" s="42" t="str">
        <x:v>对照组模板</x:v>
      </x:c>
      <x:c r="D197" s="63" t="n">
        <x:v>-3</x:v>
      </x:c>
      <x:c r="E197" s="63" t="n">
        <x:v>25.5</x:v>
      </x:c>
      <x:c r="F197" s="63" t="n">
        <x:v>24.7</x:v>
      </x:c>
      <x:c r="G197" s="63" t="n">
        <x:v>30.6</x:v>
      </x:c>
      <x:c r="H197" s="63" t="n">
        <x:v>64</x:v>
      </x:c>
      <x:c r="I197" s="63" t="n">
        <x:v>66</x:v>
      </x:c>
      <x:c r="J197" s="63" t="n">
        <x:v>70</x:v>
      </x:c>
      <x:c r="K197" s="63" t="n">
        <x:v>56</x:v>
      </x:c>
      <x:c r="L197" s="63" t="n">
        <x:v>31.5</x:v>
      </x:c>
      <x:c r="M197" s="63" t="n">
        <x:v>22.1</x:v>
      </x:c>
      <x:c r="N197" s="63" t="n">
        <x:v>37.9</x:v>
      </x:c>
      <x:c r="O197" s="63" t="n">
        <x:v>0</x:v>
      </x:c>
      <x:c r="P197" s="42" t="str">
        <x:v>模拟数据/方法演示</x:v>
      </x:c>
    </x:row>
    <x:row r="198">
      <x:c r="A198" s="42" t="str">
        <x:v>对照城市B-demo</x:v>
      </x:c>
      <x:c r="B198" s="42" t="str">
        <x:v>对照城市B</x:v>
      </x:c>
      <x:c r="C198" s="42" t="str">
        <x:v>对照组模板</x:v>
      </x:c>
      <x:c r="D198" s="63" t="n">
        <x:v>-2</x:v>
      </x:c>
      <x:c r="E198" s="63" t="n">
        <x:v>22.4</x:v>
      </x:c>
      <x:c r="F198" s="63" t="n">
        <x:v>27.5</x:v>
      </x:c>
      <x:c r="G198" s="63" t="n">
        <x:v>34.4</x:v>
      </x:c>
      <x:c r="H198" s="63" t="n">
        <x:v>64</x:v>
      </x:c>
      <x:c r="I198" s="63" t="n">
        <x:v>66</x:v>
      </x:c>
      <x:c r="J198" s="63" t="n">
        <x:v>70</x:v>
      </x:c>
      <x:c r="K198" s="63" t="n">
        <x:v>56</x:v>
      </x:c>
      <x:c r="L198" s="63" t="n">
        <x:v>32</x:v>
      </x:c>
      <x:c r="M198" s="63" t="n">
        <x:v>25.1</x:v>
      </x:c>
      <x:c r="N198" s="63" t="n">
        <x:v>37.8</x:v>
      </x:c>
      <x:c r="O198" s="63" t="n">
        <x:v>0</x:v>
      </x:c>
      <x:c r="P198" s="42" t="str">
        <x:v>模拟数据/方法演示</x:v>
      </x:c>
    </x:row>
    <x:row r="199">
      <x:c r="A199" s="42" t="str">
        <x:v>对照城市B-demo</x:v>
      </x:c>
      <x:c r="B199" s="42" t="str">
        <x:v>对照城市B</x:v>
      </x:c>
      <x:c r="C199" s="42" t="str">
        <x:v>对照组模板</x:v>
      </x:c>
      <x:c r="D199" s="63" t="n">
        <x:v>-1</x:v>
      </x:c>
      <x:c r="E199" s="63" t="n">
        <x:v>26.2</x:v>
      </x:c>
      <x:c r="F199" s="63" t="n">
        <x:v>23.4</x:v>
      </x:c>
      <x:c r="G199" s="63" t="n">
        <x:v>32.2</x:v>
      </x:c>
      <x:c r="H199" s="63" t="n">
        <x:v>64</x:v>
      </x:c>
      <x:c r="I199" s="63" t="n">
        <x:v>66</x:v>
      </x:c>
      <x:c r="J199" s="63" t="n">
        <x:v>70</x:v>
      </x:c>
      <x:c r="K199" s="63" t="n">
        <x:v>56</x:v>
      </x:c>
      <x:c r="L199" s="63" t="n">
        <x:v>29.5</x:v>
      </x:c>
      <x:c r="M199" s="63" t="n">
        <x:v>20.2</x:v>
      </x:c>
      <x:c r="N199" s="63" t="n">
        <x:v>38.1</x:v>
      </x:c>
      <x:c r="O199" s="63" t="n">
        <x:v>0</x:v>
      </x:c>
      <x:c r="P199" s="42" t="str">
        <x:v>模拟数据/方法演示</x:v>
      </x:c>
    </x:row>
    <x:row r="200">
      <x:c r="A200" s="42" t="str">
        <x:v>对照城市B-demo</x:v>
      </x:c>
      <x:c r="B200" s="42" t="str">
        <x:v>对照城市B</x:v>
      </x:c>
      <x:c r="C200" s="42" t="str">
        <x:v>对照组模板</x:v>
      </x:c>
      <x:c r="D200" s="63" t="n">
        <x:v>0</x:v>
      </x:c>
      <x:c r="E200" s="63" t="n">
        <x:v>27.7</x:v>
      </x:c>
      <x:c r="F200" s="63" t="n">
        <x:v>24.3</x:v>
      </x:c>
      <x:c r="G200" s="63" t="n">
        <x:v>31.5</x:v>
      </x:c>
      <x:c r="H200" s="63" t="n">
        <x:v>64</x:v>
      </x:c>
      <x:c r="I200" s="63" t="n">
        <x:v>66</x:v>
      </x:c>
      <x:c r="J200" s="63" t="n">
        <x:v>70</x:v>
      </x:c>
      <x:c r="K200" s="63" t="n">
        <x:v>56</x:v>
      </x:c>
      <x:c r="L200" s="63" t="n">
        <x:v>31.6</x:v>
      </x:c>
      <x:c r="M200" s="63" t="n">
        <x:v>26</x:v>
      </x:c>
      <x:c r="N200" s="63" t="n">
        <x:v>37.9</x:v>
      </x:c>
      <x:c r="O200" s="63" t="n">
        <x:v>0</x:v>
      </x:c>
      <x:c r="P200" s="42" t="str">
        <x:v>模拟数据/方法演示</x:v>
      </x:c>
    </x:row>
    <x:row r="201">
      <x:c r="A201" s="42" t="str">
        <x:v>对照城市B-demo</x:v>
      </x:c>
      <x:c r="B201" s="42" t="str">
        <x:v>对照城市B</x:v>
      </x:c>
      <x:c r="C201" s="42" t="str">
        <x:v>对照组模板</x:v>
      </x:c>
      <x:c r="D201" s="63" t="n">
        <x:v>1</x:v>
      </x:c>
      <x:c r="E201" s="63" t="n">
        <x:v>32.4</x:v>
      </x:c>
      <x:c r="F201" s="63" t="n">
        <x:v>28.9</x:v>
      </x:c>
      <x:c r="G201" s="63" t="n">
        <x:v>32.6</x:v>
      </x:c>
      <x:c r="H201" s="63" t="n">
        <x:v>64</x:v>
      </x:c>
      <x:c r="I201" s="63" t="n">
        <x:v>66</x:v>
      </x:c>
      <x:c r="J201" s="63" t="n">
        <x:v>70</x:v>
      </x:c>
      <x:c r="K201" s="63" t="n">
        <x:v>56</x:v>
      </x:c>
      <x:c r="L201" s="63" t="n">
        <x:v>28.6</x:v>
      </x:c>
      <x:c r="M201" s="63" t="n">
        <x:v>21.6</x:v>
      </x:c>
      <x:c r="N201" s="63" t="n">
        <x:v>40.2</x:v>
      </x:c>
      <x:c r="O201" s="63" t="n">
        <x:v>0</x:v>
      </x:c>
      <x:c r="P201" s="42" t="str">
        <x:v>模拟数据/方法演示</x:v>
      </x:c>
    </x:row>
    <x:row r="202">
      <x:c r="A202" s="42" t="str">
        <x:v>对照城市B-demo</x:v>
      </x:c>
      <x:c r="B202" s="42" t="str">
        <x:v>对照城市B</x:v>
      </x:c>
      <x:c r="C202" s="42" t="str">
        <x:v>对照组模板</x:v>
      </x:c>
      <x:c r="D202" s="63" t="n">
        <x:v>2</x:v>
      </x:c>
      <x:c r="E202" s="63" t="n">
        <x:v>29.8</x:v>
      </x:c>
      <x:c r="F202" s="63" t="n">
        <x:v>28.7</x:v>
      </x:c>
      <x:c r="G202" s="63" t="n">
        <x:v>31.6</x:v>
      </x:c>
      <x:c r="H202" s="63" t="n">
        <x:v>64</x:v>
      </x:c>
      <x:c r="I202" s="63" t="n">
        <x:v>66</x:v>
      </x:c>
      <x:c r="J202" s="63" t="n">
        <x:v>70</x:v>
      </x:c>
      <x:c r="K202" s="63" t="n">
        <x:v>56</x:v>
      </x:c>
      <x:c r="L202" s="63" t="n">
        <x:v>30.7</x:v>
      </x:c>
      <x:c r="M202" s="63" t="n">
        <x:v>22.7</x:v>
      </x:c>
      <x:c r="N202" s="63" t="n">
        <x:v>39.5</x:v>
      </x:c>
      <x:c r="O202" s="63" t="n">
        <x:v>0</x:v>
      </x:c>
      <x:c r="P202" s="42" t="str">
        <x:v>模拟数据/方法演示</x:v>
      </x:c>
    </x:row>
    <x:row r="203">
      <x:c r="A203" s="42" t="str">
        <x:v>对照城市B-demo</x:v>
      </x:c>
      <x:c r="B203" s="42" t="str">
        <x:v>对照城市B</x:v>
      </x:c>
      <x:c r="C203" s="42" t="str">
        <x:v>对照组模板</x:v>
      </x:c>
      <x:c r="D203" s="63" t="n">
        <x:v>3</x:v>
      </x:c>
      <x:c r="E203" s="63" t="n">
        <x:v>27.1</x:v>
      </x:c>
      <x:c r="F203" s="63" t="n">
        <x:v>26.8</x:v>
      </x:c>
      <x:c r="G203" s="63" t="n">
        <x:v>29.6</x:v>
      </x:c>
      <x:c r="H203" s="63" t="n">
        <x:v>64</x:v>
      </x:c>
      <x:c r="I203" s="63" t="n">
        <x:v>66</x:v>
      </x:c>
      <x:c r="J203" s="63" t="n">
        <x:v>70</x:v>
      </x:c>
      <x:c r="K203" s="63" t="n">
        <x:v>56</x:v>
      </x:c>
      <x:c r="L203" s="63" t="n">
        <x:v>26.4</x:v>
      </x:c>
      <x:c r="M203" s="63" t="n">
        <x:v>28.9</x:v>
      </x:c>
      <x:c r="N203" s="63" t="n">
        <x:v>37</x:v>
      </x:c>
      <x:c r="O203" s="63" t="n">
        <x:v>0</x:v>
      </x:c>
      <x:c r="P203" s="42" t="str">
        <x:v>模拟数据/方法演示</x:v>
      </x:c>
    </x:row>
    <x:row r="204">
      <x:c r="A204" s="42" t="str">
        <x:v>对照城市B-demo</x:v>
      </x:c>
      <x:c r="B204" s="42" t="str">
        <x:v>对照城市B</x:v>
      </x:c>
      <x:c r="C204" s="42" t="str">
        <x:v>对照组模板</x:v>
      </x:c>
      <x:c r="D204" s="63" t="n">
        <x:v>4</x:v>
      </x:c>
      <x:c r="E204" s="63" t="n">
        <x:v>32.6</x:v>
      </x:c>
      <x:c r="F204" s="63" t="n">
        <x:v>27.2</x:v>
      </x:c>
      <x:c r="G204" s="63" t="n">
        <x:v>30.9</x:v>
      </x:c>
      <x:c r="H204" s="63" t="n">
        <x:v>64</x:v>
      </x:c>
      <x:c r="I204" s="63" t="n">
        <x:v>66</x:v>
      </x:c>
      <x:c r="J204" s="63" t="n">
        <x:v>70</x:v>
      </x:c>
      <x:c r="K204" s="63" t="n">
        <x:v>56</x:v>
      </x:c>
      <x:c r="L204" s="63" t="n">
        <x:v>29.2</x:v>
      </x:c>
      <x:c r="M204" s="63" t="n">
        <x:v>27.7</x:v>
      </x:c>
      <x:c r="N204" s="63" t="n">
        <x:v>38.9</x:v>
      </x:c>
      <x:c r="O204" s="63" t="n">
        <x:v>0</x:v>
      </x:c>
      <x:c r="P204" s="42" t="str">
        <x:v>模拟数据/方法演示</x:v>
      </x:c>
    </x:row>
    <x:row r="205">
      <x:c r="A205" s="42" t="str">
        <x:v>对照城市B-demo</x:v>
      </x:c>
      <x:c r="B205" s="42" t="str">
        <x:v>对照城市B</x:v>
      </x:c>
      <x:c r="C205" s="42" t="str">
        <x:v>对照组模板</x:v>
      </x:c>
      <x:c r="D205" s="63" t="n">
        <x:v>5</x:v>
      </x:c>
      <x:c r="E205" s="63" t="n">
        <x:v>28.6</x:v>
      </x:c>
      <x:c r="F205" s="63" t="n">
        <x:v>26.3</x:v>
      </x:c>
      <x:c r="G205" s="63" t="n">
        <x:v>29</x:v>
      </x:c>
      <x:c r="H205" s="63" t="n">
        <x:v>64</x:v>
      </x:c>
      <x:c r="I205" s="63" t="n">
        <x:v>66</x:v>
      </x:c>
      <x:c r="J205" s="63" t="n">
        <x:v>70</x:v>
      </x:c>
      <x:c r="K205" s="63" t="n">
        <x:v>56</x:v>
      </x:c>
      <x:c r="L205" s="63" t="n">
        <x:v>29</x:v>
      </x:c>
      <x:c r="M205" s="63" t="n">
        <x:v>26.6</x:v>
      </x:c>
      <x:c r="N205" s="63" t="n">
        <x:v>37.8</x:v>
      </x:c>
      <x:c r="O205" s="63" t="n">
        <x:v>0</x:v>
      </x:c>
      <x:c r="P205" s="42" t="str">
        <x:v>模拟数据/方法演示</x:v>
      </x:c>
    </x:row>
    <x:row r="206">
      <x:c r="A206" s="42" t="str">
        <x:v>对照城市B-demo</x:v>
      </x:c>
      <x:c r="B206" s="42" t="str">
        <x:v>对照城市B</x:v>
      </x:c>
      <x:c r="C206" s="42" t="str">
        <x:v>对照组模板</x:v>
      </x:c>
      <x:c r="D206" s="63" t="n">
        <x:v>6</x:v>
      </x:c>
      <x:c r="E206" s="63" t="n">
        <x:v>26.3</x:v>
      </x:c>
      <x:c r="F206" s="63" t="n">
        <x:v>21.7</x:v>
      </x:c>
      <x:c r="G206" s="63" t="n">
        <x:v>29.9</x:v>
      </x:c>
      <x:c r="H206" s="63" t="n">
        <x:v>64</x:v>
      </x:c>
      <x:c r="I206" s="63" t="n">
        <x:v>66</x:v>
      </x:c>
      <x:c r="J206" s="63" t="n">
        <x:v>70</x:v>
      </x:c>
      <x:c r="K206" s="63" t="n">
        <x:v>56</x:v>
      </x:c>
      <x:c r="L206" s="63" t="n">
        <x:v>32.7</x:v>
      </x:c>
      <x:c r="M206" s="63" t="n">
        <x:v>17.7</x:v>
      </x:c>
      <x:c r="N206" s="63" t="n">
        <x:v>38.3</x:v>
      </x:c>
      <x:c r="O206" s="63" t="n">
        <x:v>0</x:v>
      </x:c>
      <x:c r="P206" s="42" t="str">
        <x:v>模拟数据/方法演示</x:v>
      </x:c>
    </x:row>
    <x:row r="207">
      <x:c r="A207" s="42" t="str">
        <x:v>对照城市B-demo</x:v>
      </x:c>
      <x:c r="B207" s="42" t="str">
        <x:v>对照城市B</x:v>
      </x:c>
      <x:c r="C207" s="42" t="str">
        <x:v>对照组模板</x:v>
      </x:c>
      <x:c r="D207" s="63" t="n">
        <x:v>7</x:v>
      </x:c>
      <x:c r="E207" s="63" t="n">
        <x:v>21.9</x:v>
      </x:c>
      <x:c r="F207" s="63" t="n">
        <x:v>22.8</x:v>
      </x:c>
      <x:c r="G207" s="63" t="n">
        <x:v>30.7</x:v>
      </x:c>
      <x:c r="H207" s="63" t="n">
        <x:v>64</x:v>
      </x:c>
      <x:c r="I207" s="63" t="n">
        <x:v>66</x:v>
      </x:c>
      <x:c r="J207" s="63" t="n">
        <x:v>70</x:v>
      </x:c>
      <x:c r="K207" s="63" t="n">
        <x:v>56</x:v>
      </x:c>
      <x:c r="L207" s="63" t="n">
        <x:v>32.7</x:v>
      </x:c>
      <x:c r="M207" s="63" t="n">
        <x:v>26.1</x:v>
      </x:c>
      <x:c r="N207" s="63" t="n">
        <x:v>36.3</x:v>
      </x:c>
      <x:c r="O207" s="63" t="n">
        <x:v>0</x:v>
      </x:c>
      <x:c r="P207" s="42" t="str">
        <x:v>模拟数据/方法演示</x:v>
      </x:c>
    </x:row>
    <x:row r="208">
      <x:c r="A208" s="42" t="str">
        <x:v>对照城市B-demo</x:v>
      </x:c>
      <x:c r="B208" s="42" t="str">
        <x:v>对照城市B</x:v>
      </x:c>
      <x:c r="C208" s="42" t="str">
        <x:v>对照组模板</x:v>
      </x:c>
      <x:c r="D208" s="63" t="n">
        <x:v>8</x:v>
      </x:c>
      <x:c r="E208" s="63" t="n">
        <x:v>20.4</x:v>
      </x:c>
      <x:c r="F208" s="63" t="n">
        <x:v>20.6</x:v>
      </x:c>
      <x:c r="G208" s="63" t="n">
        <x:v>30.7</x:v>
      </x:c>
      <x:c r="H208" s="63" t="n">
        <x:v>64</x:v>
      </x:c>
      <x:c r="I208" s="63" t="n">
        <x:v>66</x:v>
      </x:c>
      <x:c r="J208" s="63" t="n">
        <x:v>70</x:v>
      </x:c>
      <x:c r="K208" s="63" t="n">
        <x:v>56</x:v>
      </x:c>
      <x:c r="L208" s="63" t="n">
        <x:v>26.4</x:v>
      </x:c>
      <x:c r="M208" s="63" t="n">
        <x:v>20.6</x:v>
      </x:c>
      <x:c r="N208" s="63" t="n">
        <x:v>35.8</x:v>
      </x:c>
      <x:c r="O208" s="63" t="n">
        <x:v>0</x:v>
      </x:c>
      <x:c r="P208" s="42" t="str">
        <x:v>模拟数据/方法演示</x:v>
      </x:c>
    </x:row>
    <x:row r="209">
      <x:c r="A209" s="42" t="str">
        <x:v>对照城市B-demo</x:v>
      </x:c>
      <x:c r="B209" s="42" t="str">
        <x:v>对照城市B</x:v>
      </x:c>
      <x:c r="C209" s="42" t="str">
        <x:v>对照组模板</x:v>
      </x:c>
      <x:c r="D209" s="63" t="n">
        <x:v>9</x:v>
      </x:c>
      <x:c r="E209" s="63" t="n">
        <x:v>17.2</x:v>
      </x:c>
      <x:c r="F209" s="63" t="n">
        <x:v>23.4</x:v>
      </x:c>
      <x:c r="G209" s="63" t="n">
        <x:v>37.2</x:v>
      </x:c>
      <x:c r="H209" s="63" t="n">
        <x:v>64</x:v>
      </x:c>
      <x:c r="I209" s="63" t="n">
        <x:v>66</x:v>
      </x:c>
      <x:c r="J209" s="63" t="n">
        <x:v>70</x:v>
      </x:c>
      <x:c r="K209" s="63" t="n">
        <x:v>56</x:v>
      </x:c>
      <x:c r="L209" s="63" t="n">
        <x:v>26.4</x:v>
      </x:c>
      <x:c r="M209" s="63" t="n">
        <x:v>24.1</x:v>
      </x:c>
      <x:c r="N209" s="63" t="n">
        <x:v>35.8</x:v>
      </x:c>
      <x:c r="O209" s="63" t="n">
        <x:v>0</x:v>
      </x:c>
      <x:c r="P209" s="42" t="str">
        <x:v>模拟数据/方法演示</x:v>
      </x:c>
    </x:row>
    <x:row r="210">
      <x:c r="A210" s="42" t="str">
        <x:v>对照城市B-demo</x:v>
      </x:c>
      <x:c r="B210" s="42" t="str">
        <x:v>对照城市B</x:v>
      </x:c>
      <x:c r="C210" s="42" t="str">
        <x:v>对照组模板</x:v>
      </x:c>
      <x:c r="D210" s="63" t="n">
        <x:v>10</x:v>
      </x:c>
      <x:c r="E210" s="63" t="n">
        <x:v>16.8</x:v>
      </x:c>
      <x:c r="F210" s="63" t="n">
        <x:v>19.3</x:v>
      </x:c>
      <x:c r="G210" s="63" t="n">
        <x:v>35.2</x:v>
      </x:c>
      <x:c r="H210" s="63" t="n">
        <x:v>64</x:v>
      </x:c>
      <x:c r="I210" s="63" t="n">
        <x:v>66</x:v>
      </x:c>
      <x:c r="J210" s="63" t="n">
        <x:v>70</x:v>
      </x:c>
      <x:c r="K210" s="63" t="n">
        <x:v>56</x:v>
      </x:c>
      <x:c r="L210" s="63" t="n">
        <x:v>25.6</x:v>
      </x:c>
      <x:c r="M210" s="63" t="n">
        <x:v>21</x:v>
      </x:c>
      <x:c r="N210" s="63" t="n">
        <x:v>35.2</x:v>
      </x:c>
      <x:c r="O210" s="63" t="n">
        <x:v>0</x:v>
      </x:c>
      <x:c r="P210" s="42" t="str">
        <x:v>模拟数据/方法演示</x:v>
      </x:c>
    </x:row>
  </x:sheetData>
  <x:mergeCells>
    <x:mergeCell ref="A1:P2"/>
    <x:mergeCell ref="A3:P3"/>
  </x:mergeCells>
  <x:pageMargins left="0.7" right="0.7" top="0.75" bottom="0.75" header="0.3" footer="0.3"/>
  <x:drawing xmlns:r="http://schemas.openxmlformats.org/officeDocument/2006/relationships" r:id="R37e39bfa8afd46fd"/>
  <x:tableParts count="1">
    <x:tablePart xmlns:r="http://schemas.openxmlformats.org/officeDocument/2006/relationships" r:id="Rd3d4d981225c4db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0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5" t="str">
        <x:v>CityPulse 特征字典与合规说明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36" t="str">
        <x:v>字段</x:v>
      </x:c>
      <x:c r="B4" s="36" t="str">
        <x:v>中文名</x:v>
      </x:c>
      <x:c r="C4" s="36" t="str">
        <x:v>范围</x:v>
      </x:c>
      <x:c r="D4" s="36" t="str">
        <x:v>定义</x:v>
      </x:c>
      <x:c r="E4" s="36" t="str">
        <x:v>来源计划</x:v>
      </x:c>
      <x:c r="F4" s="36" t="str">
        <x:v>合规说明</x:v>
      </x:c>
    </x:row>
    <x:row r="5">
      <x:c r="A5" s="42" t="str">
        <x:v>content_growth</x:v>
      </x:c>
      <x:c r="B5" s="42" t="str">
        <x:v>内容传播增速</x:v>
      </x:c>
      <x:c r="C5" s="42" t="str">
        <x:v>0-100</x:v>
      </x:c>
      <x:c r="D5" s="42" t="str">
        <x:v>公开内容量、互动量与跨圈层扩散的标准化变化</x:v>
      </x:c>
      <x:c r="E5" s="42" t="str">
        <x:v>公开且授权的数据接口/人工样本</x:v>
      </x:c>
      <x:c r="F5" s="42" t="str">
        <x:v>按城市和日期聚合，不保存用户身份</x:v>
      </x:c>
    </x:row>
    <x:row r="6">
      <x:c r="A6" s="42" t="str">
        <x:v>search_growth</x:v>
      </x:c>
      <x:c r="B6" s="42" t="str">
        <x:v>搜索需求增速</x:v>
      </x:c>
      <x:c r="C6" s="42" t="str">
        <x:v>0-100</x:v>
      </x:c>
      <x:c r="D6" s="42" t="str">
        <x:v>城市、景点、美食等关键词的相对增长</x:v>
      </x:c>
      <x:c r="E6" s="42" t="str">
        <x:v>企业脱敏搜索数据优先；报名期使用公开代理变量</x:v>
      </x:c>
      <x:c r="F6" s="42" t="str">
        <x:v>只使用聚合趋势，不采集个人查询</x:v>
      </x:c>
    </x:row>
    <x:row r="7">
      <x:c r="A7" s="42" t="str">
        <x:v>event_trigger</x:v>
      </x:c>
      <x:c r="B7" s="42" t="str">
        <x:v>事件触发强度</x:v>
      </x:c>
      <x:c r="C7" s="42" t="str">
        <x:v>0-100</x:v>
      </x:c>
      <x:c r="D7" s="42" t="str">
        <x:v>演出、赛事、节庆、影视等事件带来的启动信号</x:v>
      </x:c>
      <x:c r="E7" s="42" t="str">
        <x:v>政府/场馆公开日历与权威新闻</x:v>
      </x:c>
      <x:c r="F7" s="42" t="str">
        <x:v>保留来源与发布时间，防止未来信息泄漏</x:v>
      </x:c>
    </x:row>
    <x:row r="8">
      <x:c r="A8" s="42" t="str">
        <x:v>accessibility</x:v>
      </x:c>
      <x:c r="B8" s="42" t="str">
        <x:v>客源可达性</x:v>
      </x:c>
      <x:c r="C8" s="42" t="str">
        <x:v>0-100</x:v>
      </x:c>
      <x:c r="D8" s="42" t="str">
        <x:v>核心客源地到目的地的时间、班次和换乘成本</x:v>
      </x:c>
      <x:c r="E8" s="42" t="str">
        <x:v>高德路径规划、公开交通时刻</x:v>
      </x:c>
      <x:c r="F8" s="42" t="str">
        <x:v>按路线聚合，不涉及个人轨迹</x:v>
      </x:c>
    </x:row>
    <x:row r="9">
      <x:c r="A9" s="42" t="str">
        <x:v>supply_capacity</x:v>
      </x:c>
      <x:c r="B9" s="42" t="str">
        <x:v>供给承载力</x:v>
      </x:c>
      <x:c r="C9" s="42" t="str">
        <x:v>0-100</x:v>
      </x:c>
      <x:c r="D9" s="42" t="str">
        <x:v>住宿、景点、餐饮及服务设施承载水平</x:v>
      </x:c>
      <x:c r="E9" s="42" t="str">
        <x:v>高德POI、文旅公开统计、平台授权库存</x:v>
      </x:c>
      <x:c r="F9" s="42" t="str">
        <x:v>只用公开或授权数据</x:v>
      </x:c>
    </x:row>
    <x:row r="10">
      <x:c r="A10" s="42" t="str">
        <x:v>weather_fit</x:v>
      </x:c>
      <x:c r="B10" s="42" t="str">
        <x:v>气象适配度</x:v>
      </x:c>
      <x:c r="C10" s="42" t="str">
        <x:v>0-100</x:v>
      </x:c>
      <x:c r="D10" s="42" t="str">
        <x:v>温度、降水、风力与主题玩法的匹配度</x:v>
      </x:c>
      <x:c r="E10" s="42" t="str">
        <x:v>中国气象数据网/高德天气</x:v>
      </x:c>
      <x:c r="F10" s="42" t="str">
        <x:v>保留观测时间与预报版本</x:v>
      </x:c>
    </x:row>
    <x:row r="11">
      <x:c r="A11" s="42" t="str">
        <x:v>novelty</x:v>
      </x:c>
      <x:c r="B11" s="42" t="str">
        <x:v>内容新奇度</x:v>
      </x:c>
      <x:c r="C11" s="42" t="str">
        <x:v>0-100</x:v>
      </x:c>
      <x:c r="D11" s="42" t="str">
        <x:v>地方性、可讲述性和同质化程度的代理评分</x:v>
      </x:c>
      <x:c r="E11" s="42" t="str">
        <x:v>POI标签、非遗/地方文化目录、文本特征</x:v>
      </x:c>
      <x:c r="F11" s="42" t="str">
        <x:v>模型建议需人工复核</x:v>
      </x:c>
    </x:row>
    <x:row r="12">
      <x:c r="A12" s="42" t="str">
        <x:v>cross_region_spread</x:v>
      </x:c>
      <x:c r="B12" s="42" t="str">
        <x:v>跨区域扩散</x:v>
      </x:c>
      <x:c r="C12" s="42" t="str">
        <x:v>0-100</x:v>
      </x:c>
      <x:c r="D12" s="42" t="str">
        <x:v>热度是否由本地圈层向多客源地扩散</x:v>
      </x:c>
      <x:c r="E12" s="42" t="str">
        <x:v>聚合内容与搜索地域分布</x:v>
      </x:c>
      <x:c r="F12" s="42" t="str">
        <x:v>地域粒度最低到城市</x:v>
      </x:c>
    </x:row>
    <x:row r="13">
      <x:c r="A13" s="42" t="str">
        <x:v>risk_pressure</x:v>
      </x:c>
      <x:c r="B13" s="42" t="str">
        <x:v>拥挤与舆情风险</x:v>
      </x:c>
      <x:c r="C13" s="42" t="str">
        <x:v>0-100</x:v>
      </x:c>
      <x:c r="D13" s="42" t="str">
        <x:v>容量不足、价格波动、负面舆情和安全风险</x:v>
      </x:c>
      <x:c r="E13" s="42" t="str">
        <x:v>公开预警、企业授权库存/价格</x:v>
      </x:c>
      <x:c r="F13" s="42" t="str">
        <x:v>风险高时降级为观察而非直接投放</x:v>
      </x:c>
    </x:row>
    <x:row r="14">
      <x:c r="A14" s="42" t="str">
        <x:v>composite_score</x:v>
      </x:c>
      <x:c r="B14" s="42" t="str">
        <x:v>综合潜力分</x:v>
      </x:c>
      <x:c r="C14" s="42" t="str">
        <x:v>0-100</x:v>
      </x:c>
      <x:c r="D14" s="42" t="str">
        <x:v>预测核心输出：多源信号加权后扣除风险</x:v>
      </x:c>
      <x:c r="E14" s="42" t="str">
        <x:v>模型计算</x:v>
      </x:c>
      <x:c r="F14" s="42" t="str">
        <x:v>必须同时输出不确定性与证据链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49e3acf6694b49e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27" hidden="0" customWidth="1"/>
    <x:col min="5" max="5" width="14" hidden="0" customWidth="1"/>
    <x:col min="6" max="6" width="24" hidden="0" customWidth="1"/>
    <x:col min="7" max="7" width="14" hidden="0" customWidth="1"/>
    <x:col min="8" max="8" width="24" hidden="0" customWidth="1"/>
  </x:cols>
  <x:sheetData>
    <x:row r="1">
      <x:c r="A1" s="5" t="str">
        <x:v>历史时间截断回测协议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9" t="str">
        <x:v>1｜实验目标</x:v>
      </x:c>
      <x:c r="B4" s="19"/>
      <x:c r="C4" s="19"/>
      <x:c r="D4" s="19"/>
      <x:c r="E4" s="19"/>
      <x:c r="F4" s="19"/>
      <x:c r="G4" s="19"/>
      <x:c r="H4" s="19"/>
    </x:row>
    <x:row r="5">
      <x:c r="A5" s="72" t="str">
        <x:v>验证系统能否在热点公开爆发前，将目标城市提前推入 Top-K，并同时控制误报、校准概率和解释证据完整度。</x:v>
      </x:c>
      <x:c r="B5" s="72"/>
      <x:c r="C5" s="72"/>
      <x:c r="D5" s="72"/>
      <x:c r="E5" s="72"/>
      <x:c r="F5" s="72"/>
      <x:c r="G5" s="72"/>
      <x:c r="H5" s="72"/>
    </x:row>
    <x:row r="6">
      <x:c r="A6" s="72"/>
      <x:c r="B6" s="72"/>
      <x:c r="C6" s="72"/>
      <x:c r="D6" s="72"/>
      <x:c r="E6" s="72"/>
      <x:c r="F6" s="72"/>
      <x:c r="G6" s="72"/>
      <x:c r="H6" s="72"/>
    </x:row>
    <x:row r="8">
      <x:c r="A8" s="19" t="str">
        <x:v>2｜样本与时间切分</x:v>
      </x:c>
      <x:c r="B8" s="19"/>
      <x:c r="C8" s="19"/>
      <x:c r="D8" s="19"/>
      <x:c r="E8" s="19"/>
      <x:c r="F8" s="19"/>
      <x:c r="G8" s="19"/>
      <x:c r="H8" s="19"/>
    </x:row>
    <x:row r="9">
      <x:c r="A9" s="36" t="str">
        <x:v>要素</x:v>
      </x:c>
      <x:c r="B9" s="36" t="str">
        <x:v>设计</x:v>
      </x:c>
      <x:c r="C9" s="36" t="str">
        <x:v>要素</x:v>
      </x:c>
      <x:c r="D9" s="36" t="str">
        <x:v>设计</x:v>
      </x:c>
      <x:c r="E9" s="36" t="str">
        <x:v>要素</x:v>
      </x:c>
      <x:c r="F9" s="36" t="str">
        <x:v>设计</x:v>
      </x:c>
      <x:c r="G9" s="36" t="str">
        <x:v>要素</x:v>
      </x:c>
      <x:c r="H9" s="36" t="str">
        <x:v>设计</x:v>
      </x:c>
    </x:row>
    <x:row r="10">
      <x:c r="A10" s="42" t="str">
        <x:v>正例</x:v>
      </x:c>
      <x:c r="B10" s="42" t="str">
        <x:v>淄博/天水/哈尔滨等已知案例</x:v>
      </x:c>
      <x:c r="C10" s="42" t="str">
        <x:v>对照组</x:v>
      </x:c>
      <x:c r="D10" s="42" t="str">
        <x:v>同区域/季节/体量但未爆发城市</x:v>
      </x:c>
      <x:c r="E10" s="42" t="str">
        <x:v>爆发日</x:v>
      </x:c>
      <x:c r="F10" s="42" t="str">
        <x:v>定义 T0</x:v>
      </x:c>
      <x:c r="G10" s="42" t="str">
        <x:v>截点</x:v>
      </x:c>
      <x:c r="H10" s="42" t="str">
        <x:v>T0-30 / T0-14 / T0-7</x:v>
      </x:c>
    </x:row>
    <x:row r="11">
      <x:c r="A11" s="42" t="str">
        <x:v>切分</x:v>
      </x:c>
      <x:c r="B11" s="42" t="str">
        <x:v>按时间前滚</x:v>
      </x:c>
      <x:c r="C11" s="42" t="str">
        <x:v>训练</x:v>
      </x:c>
      <x:c r="D11" s="42" t="str">
        <x:v>仅用历史窗口</x:v>
      </x:c>
      <x:c r="E11" s="42" t="str">
        <x:v>验证</x:v>
      </x:c>
      <x:c r="F11" s="42" t="str">
        <x:v>后续时间段</x:v>
      </x:c>
      <x:c r="G11" s="42" t="str">
        <x:v>测试</x:v>
      </x:c>
      <x:c r="H11" s="42" t="str">
        <x:v>独立案例与城市</x:v>
      </x:c>
    </x:row>
    <x:row r="12">
      <x:c r="A12" s="42" t="str">
        <x:v>预测窗</x:v>
      </x:c>
      <x:c r="B12" s="42" t="str">
        <x:v>7/14/30 天</x:v>
      </x:c>
      <x:c r="C12" s="42" t="str">
        <x:v>排序池</x:v>
      </x:c>
      <x:c r="D12" s="42" t="str">
        <x:v>同日所有候选城市</x:v>
      </x:c>
      <x:c r="E12" s="42" t="str">
        <x:v>粒度</x:v>
      </x:c>
      <x:c r="F12" s="42" t="str">
        <x:v>city_id × date</x:v>
      </x:c>
      <x:c r="G12" s="42" t="str">
        <x:v>版本</x:v>
      </x:c>
      <x:c r="H12" s="42" t="str">
        <x:v>数据/特征/模型/随机种子</x:v>
      </x:c>
    </x:row>
    <x:row r="13">
      <x:c r="A13" s="42" t="str">
        <x:v>原则</x:v>
      </x:c>
      <x:c r="B13" s="42" t="str">
        <x:v>不随机打散</x:v>
      </x:c>
      <x:c r="C13" s="42" t="str">
        <x:v>输出</x:v>
      </x:c>
      <x:c r="D13" s="42" t="str">
        <x:v>排名+置信度+风险+证据</x:v>
      </x:c>
      <x:c r="E13" s="42" t="str">
        <x:v>异常</x:v>
      </x:c>
      <x:c r="F13" s="42" t="str">
        <x:v>记录并可重放</x:v>
      </x:c>
      <x:c r="G13" s="42" t="str">
        <x:v>审计</x:v>
      </x:c>
      <x:c r="H13" s="42" t="str">
        <x:v>保存 available_at</x:v>
      </x:c>
    </x:row>
    <x:row r="15">
      <x:c r="A15" s="19" t="str">
        <x:v>3｜未来信息泄漏防护</x:v>
      </x:c>
      <x:c r="B15" s="19"/>
      <x:c r="C15" s="19"/>
      <x:c r="D15" s="19"/>
      <x:c r="E15" s="19"/>
      <x:c r="F15" s="19"/>
      <x:c r="G15" s="19"/>
      <x:c r="H15" s="19"/>
    </x:row>
    <x:row r="16">
      <x:c r="A16" s="36" t="str">
        <x:v>控制点</x:v>
      </x:c>
      <x:c r="B16" s="36" t="str">
        <x:v>要求</x:v>
      </x:c>
      <x:c r="C16" s="36" t="str"/>
      <x:c r="D16" s="36" t="str"/>
    </x:row>
    <x:row r="17">
      <x:c r="A17" s="42" t="str">
        <x:v>信息可用时间</x:v>
      </x:c>
      <x:c r="B17" s="42" t="str">
        <x:v>按 available_at 而非事件发生日判断是否可用</x:v>
      </x:c>
      <x:c r="C17" s="42" t="str"/>
      <x:c r="D17" s="42" t="str"/>
    </x:row>
    <x:row r="18">
      <x:c r="A18" s="42" t="str">
        <x:v>历史快照</x:v>
      </x:c>
      <x:c r="B18" s="42" t="str">
        <x:v>POI、天气、交通、价格与内容数据保留版本，不以后验修订覆盖</x:v>
      </x:c>
      <x:c r="C18" s="42" t="str"/>
      <x:c r="D18" s="42" t="str"/>
    </x:row>
    <x:row r="19">
      <x:c r="A19" s="42" t="str">
        <x:v>生成式模型</x:v>
      </x:c>
      <x:c r="B19" s="42" t="str">
        <x:v>大模型只读取截点前证据，不接触测试标签</x:v>
      </x:c>
      <x:c r="C19" s="42" t="str"/>
      <x:c r="D19" s="42" t="str"/>
    </x:row>
    <x:row r="20">
      <x:c r="A20" s="42" t="str">
        <x:v>特征工程</x:v>
      </x:c>
      <x:c r="B20" s="42" t="str">
        <x:v>在每个训练折内拟合归一化参数，不使用全量统计</x:v>
      </x:c>
      <x:c r="C20" s="42" t="str"/>
      <x:c r="D20" s="42" t="str"/>
    </x:row>
    <x:row r="21">
      <x:c r="A21" s="42" t="str">
        <x:v>人工标注</x:v>
      </x:c>
      <x:c r="B21" s="42" t="str">
        <x:v>标签规则、爆发日与对照城市在测试前冻结</x:v>
      </x:c>
      <x:c r="C21" s="42" t="str"/>
      <x:c r="D21" s="42" t="str"/>
    </x:row>
    <x:row r="22">
      <x:c r="A22" s="42" t="str">
        <x:v>可复现</x:v>
      </x:c>
      <x:c r="B22" s="42" t="str">
        <x:v>每次实验绑定代码提交、参数版本和随机种子</x:v>
      </x:c>
      <x:c r="C22" s="42" t="str"/>
      <x:c r="D22" s="42" t="str"/>
    </x:row>
    <x:row r="24">
      <x:c r="A24" s="19" t="str">
        <x:v>4｜指标与验收</x:v>
      </x:c>
      <x:c r="B24" s="19"/>
      <x:c r="C24" s="19"/>
      <x:c r="D24" s="19"/>
      <x:c r="E24" s="19"/>
      <x:c r="F24" s="19"/>
      <x:c r="G24" s="19"/>
      <x:c r="H24" s="19"/>
    </x:row>
    <x:row r="25">
      <x:c r="A25" s="36" t="str">
        <x:v>指标</x:v>
      </x:c>
      <x:c r="B25" s="36" t="str">
        <x:v>定义</x:v>
      </x:c>
      <x:c r="C25" s="36" t="str">
        <x:v>目标门槛</x:v>
      </x:c>
      <x:c r="D25" s="36" t="str">
        <x:v>当前状态</x:v>
      </x:c>
    </x:row>
    <x:row r="26">
      <x:c r="A26" s="42" t="str">
        <x:v>Hit@5</x:v>
      </x:c>
      <x:c r="B26" s="42" t="str">
        <x:v>目标城市是否进入前 5</x:v>
      </x:c>
      <x:c r="C26" s="42" t="str">
        <x:v>≥60%（迭代目标）</x:v>
      </x:c>
      <x:c r="D26" s="42" t="str">
        <x:v>待真实数据运行</x:v>
      </x:c>
    </x:row>
    <x:row r="27">
      <x:c r="A27" s="42" t="str">
        <x:v>NDCG@10</x:v>
      </x:c>
      <x:c r="B27" s="42" t="str">
        <x:v>排序质量</x:v>
      </x:c>
      <x:c r="C27" s="42" t="str">
        <x:v>高于单一搜索热度基线</x:v>
      </x:c>
      <x:c r="D27" s="42" t="str">
        <x:v>待真实数据运行</x:v>
      </x:c>
    </x:row>
    <x:row r="28">
      <x:c r="A28" s="42" t="str">
        <x:v>Lead Days</x:v>
      </x:c>
      <x:c r="B28" s="42" t="str">
        <x:v>首次达到行动阈值距 T0</x:v>
      </x:c>
      <x:c r="C28" s="42" t="str">
        <x:v>平均 ≥7 天（目标）</x:v>
      </x:c>
      <x:c r="D28" s="42" t="str">
        <x:v>待真实数据运行</x:v>
      </x:c>
    </x:row>
    <x:row r="29">
      <x:c r="A29" s="42" t="str">
        <x:v>False Alerts</x:v>
      </x:c>
      <x:c r="B29" s="42" t="str">
        <x:v>每 100 city-days 误报</x:v>
      </x:c>
      <x:c r="C29" s="42" t="str">
        <x:v>持续降低</x:v>
      </x:c>
      <x:c r="D29" s="42" t="str">
        <x:v>待真实数据运行</x:v>
      </x:c>
    </x:row>
    <x:row r="30">
      <x:c r="A30" s="42" t="str">
        <x:v>Brier / ECE</x:v>
      </x:c>
      <x:c r="B30" s="42" t="str">
        <x:v>概率校准质量</x:v>
      </x:c>
      <x:c r="C30" s="42" t="str">
        <x:v>优于未校准模型</x:v>
      </x:c>
      <x:c r="D30" s="42" t="str">
        <x:v>待真实数据运行</x:v>
      </x:c>
    </x:row>
    <x:row r="31">
      <x:c r="A31" s="42" t="str">
        <x:v>Evidence Coverage</x:v>
      </x:c>
      <x:c r="B31" s="42" t="str">
        <x:v>解释可追溯事实占比</x:v>
      </x:c>
      <x:c r="C31" s="42" t="str">
        <x:v>≥90%（目标）</x:v>
      </x:c>
      <x:c r="D31" s="42" t="str">
        <x:v>待真实数据运行</x:v>
      </x:c>
    </x:row>
    <x:row r="34">
      <x:c r="A34" s="19" t="str">
        <x:v>5｜对照与消融实验</x:v>
      </x:c>
      <x:c r="B34" s="19"/>
      <x:c r="C34" s="19"/>
      <x:c r="D34" s="19"/>
      <x:c r="E34" s="19"/>
      <x:c r="F34" s="19"/>
      <x:c r="G34" s="19"/>
      <x:c r="H34" s="19"/>
    </x:row>
    <x:row r="35">
      <x:c r="A35" s="36" t="str">
        <x:v>实验</x:v>
      </x:c>
      <x:c r="B35" s="36" t="str">
        <x:v>作用</x:v>
      </x:c>
      <x:c r="C35" s="36" t="str"/>
      <x:c r="D35" s="36" t="str"/>
    </x:row>
    <x:row r="36">
      <x:c r="A36" s="42" t="str">
        <x:v>仅搜索热度</x:v>
      </x:c>
      <x:c r="B36" s="42" t="str">
        <x:v>最低成本基线，检验单一热搜的局限</x:v>
      </x:c>
      <x:c r="C36" s="42" t="str"/>
      <x:c r="D36" s="42" t="str"/>
    </x:row>
    <x:row r="37">
      <x:c r="A37" s="42" t="str">
        <x:v>多源加权基线</x:v>
      </x:c>
      <x:c r="B37" s="42" t="str">
        <x:v>验证跨源信号是否改善排序</x:v>
      </x:c>
      <x:c r="C37" s="42" t="str"/>
      <x:c r="D37" s="42" t="str"/>
    </x:row>
    <x:row r="38">
      <x:c r="A38" s="42" t="str">
        <x:v>变点检测 + 排序模型</x:v>
      </x:c>
      <x:c r="B38" s="42" t="str">
        <x:v>主模型，检验异常加速和相对排名</x:v>
      </x:c>
      <x:c r="C38" s="42" t="str"/>
      <x:c r="D38" s="42" t="str"/>
    </x:row>
    <x:row r="39">
      <x:c r="A39" s="42" t="str">
        <x:v>去掉事件特征</x:v>
      </x:c>
      <x:c r="B39" s="42" t="str">
        <x:v>判断事件触发的增益</x:v>
      </x:c>
      <x:c r="C39" s="42" t="str"/>
      <x:c r="D39" s="42" t="str"/>
    </x:row>
    <x:row r="40">
      <x:c r="A40" s="42" t="str">
        <x:v>去掉可达性/供给</x:v>
      </x:c>
      <x:c r="B40" s="42" t="str">
        <x:v>判断能否从“会火”提升到“可承接”</x:v>
      </x:c>
      <x:c r="C40" s="42" t="str"/>
      <x:c r="D40" s="42" t="str"/>
    </x:row>
  </x:sheetData>
  <x:mergeCells>
    <x:mergeCell ref="A1:H2"/>
    <x:mergeCell ref="A4:H4"/>
    <x:mergeCell ref="A8:H8"/>
    <x:mergeCell ref="A15:H15"/>
    <x:mergeCell ref="A24:H24"/>
    <x:mergeCell ref="A34:H34"/>
    <x:mergeCell ref="A5:H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8" hidden="0" customWidth="1"/>
    <x:col min="5" max="5" width="22" hidden="0" customWidth="1"/>
    <x:col min="6" max="6" width="12" hidden="0" customWidth="1"/>
    <x:col min="7" max="7" width="3" hidden="0" customWidth="1"/>
    <x:col min="8" max="8" width="15" hidden="0" customWidth="1"/>
    <x:col min="9" max="9" width="12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>
      <x:c r="A1" s="5" t="str">
        <x:v>CityPulse 评测看板｜目标、状态与方法演示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66" t="str">
        <x:v>本页仅显示目标门槛与模拟图表，不展示伪造的真实模型成绩。</x:v>
      </x:c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</x:row>
    <x:row r="5" ht="24" customHeight="1">
      <x:c r="A5" s="80" t="str">
        <x:v>Hit@5 目标
≥60%
待真实回测</x:v>
      </x:c>
      <x:c r="B5" s="80"/>
      <x:c r="C5" s="80"/>
      <x:c r="D5" s="80" t="str">
        <x:v>平均提前量
≥7 天
待真实回测</x:v>
      </x:c>
      <x:c r="E5" s="80"/>
      <x:c r="F5" s="80"/>
      <x:c r="G5" s="80" t="str">
        <x:v>证据覆盖目标
≥90%
待真实回测</x:v>
      </x:c>
      <x:c r="H5" s="80"/>
      <x:c r="I5" s="80"/>
      <x:c r="J5" s="80" t="str">
        <x:v>单城分析耗时
≤10 分钟
待原型压测</x:v>
      </x:c>
      <x:c r="K5" s="80"/>
      <x:c r="L5" s="80"/>
    </x:row>
    <x:row r="6" ht="24" customHeight="1">
      <x:c r="A6" s="80"/>
      <x:c r="B6" s="80"/>
      <x:c r="C6" s="80"/>
      <x:c r="D6" s="80"/>
      <x:c r="E6" s="80"/>
      <x:c r="F6" s="80"/>
      <x:c r="G6" s="80"/>
      <x:c r="H6" s="80"/>
      <x:c r="I6" s="80"/>
      <x:c r="J6" s="80"/>
      <x:c r="K6" s="80"/>
      <x:c r="L6" s="80"/>
    </x:row>
    <x:row r="7" ht="24" customHeight="1">
      <x:c r="A7" s="80"/>
      <x:c r="B7" s="80"/>
      <x:c r="C7" s="80"/>
      <x:c r="D7" s="80"/>
      <x:c r="E7" s="80"/>
      <x:c r="F7" s="80"/>
      <x:c r="G7" s="80"/>
      <x:c r="H7" s="80"/>
      <x:c r="I7" s="80"/>
      <x:c r="J7" s="80"/>
      <x:c r="K7" s="80"/>
      <x:c r="L7" s="80"/>
    </x:row>
    <x:row r="8" ht="24" customHeight="1">
      <x:c r="A8" s="80"/>
      <x:c r="B8" s="80"/>
      <x:c r="C8" s="80"/>
      <x:c r="D8" s="80"/>
      <x:c r="E8" s="80"/>
      <x:c r="F8" s="80"/>
      <x:c r="G8" s="80"/>
      <x:c r="H8" s="80"/>
      <x:c r="I8" s="80"/>
      <x:c r="J8" s="80"/>
      <x:c r="K8" s="80"/>
      <x:c r="L8" s="80"/>
    </x:row>
    <x:row r="10">
      <x:c r="A10" s="19" t="str">
        <x:v>研发完成度看板</x:v>
      </x:c>
      <x:c r="B10" s="19"/>
      <x:c r="C10" s="19"/>
      <x:c r="D10" s="19"/>
      <x:c r="E10" s="19"/>
      <x:c r="F10" s="19"/>
      <x:c r="H10" s="19" t="str">
        <x:v>模拟候选得分 Top 5</x:v>
      </x:c>
      <x:c r="I10" s="19"/>
      <x:c r="J10" s="19"/>
      <x:c r="K10" s="19"/>
      <x:c r="L10" s="19"/>
    </x:row>
    <x:row r="11">
      <x:c r="A11" s="36" t="str">
        <x:v>模块</x:v>
      </x:c>
      <x:c r="B11" s="36" t="str">
        <x:v>报名材料</x:v>
      </x:c>
      <x:c r="C11" s="36" t="str">
        <x:v>MVP</x:v>
      </x:c>
      <x:c r="D11" s="36" t="str">
        <x:v>企业阶段</x:v>
      </x:c>
      <x:c r="E11" s="36" t="str">
        <x:v>验收方式</x:v>
      </x:c>
      <x:c r="F11" s="36" t="str">
        <x:v>状态</x:v>
      </x:c>
      <x:c r="H11" s="36" t="str">
        <x:v>城市</x:v>
      </x:c>
      <x:c r="I11" s="36" t="str">
        <x:v>综合分</x:v>
      </x:c>
    </x:row>
    <x:row r="12">
      <x:c r="A12" s="42" t="str">
        <x:v>数据合同</x:v>
      </x:c>
      <x:c r="B12" s="42" t="str">
        <x:v>已定义</x:v>
      </x:c>
      <x:c r="C12" s="42" t="str">
        <x:v>落库与版本化</x:v>
      </x:c>
      <x:c r="D12" s="42" t="str">
        <x:v>接入企业脱敏数据</x:v>
      </x:c>
      <x:c r="E12" s="42" t="str">
        <x:v>字段/时间/来源审计</x:v>
      </x:c>
      <x:c r="F12" s="42" t="str">
        <x:v>进行中</x:v>
      </x:c>
      <x:c r="H12" t="str">
        <x:v>延吉</x:v>
      </x:c>
      <x:c r="I12" t="n">
        <x:v>72.5</x:v>
      </x:c>
    </x:row>
    <x:row r="13">
      <x:c r="A13" s="42" t="str">
        <x:v>异常检测</x:v>
      </x:c>
      <x:c r="B13" s="42" t="str">
        <x:v>方案明确</x:v>
      </x:c>
      <x:c r="C13" s="42" t="str">
        <x:v>基线与变点检测</x:v>
      </x:c>
      <x:c r="D13" s="42" t="str">
        <x:v>在线增量监测</x:v>
      </x:c>
      <x:c r="E13" s="42" t="str">
        <x:v>历史回测</x:v>
      </x:c>
      <x:c r="F13" s="42" t="str">
        <x:v>待开发</x:v>
      </x:c>
      <x:c r="H13" t="str">
        <x:v>景德镇</x:v>
      </x:c>
      <x:c r="I13" t="n">
        <x:v>70.7</x:v>
      </x:c>
    </x:row>
    <x:row r="14">
      <x:c r="A14" s="42" t="str">
        <x:v>城市排序</x:v>
      </x:c>
      <x:c r="B14" s="42" t="str">
        <x:v>方案明确</x:v>
      </x:c>
      <x:c r="C14" s="42" t="str">
        <x:v>透明基线 + LTR</x:v>
      </x:c>
      <x:c r="D14" s="42" t="str">
        <x:v>企业数据校准</x:v>
      </x:c>
      <x:c r="E14" s="42" t="str">
        <x:v>Hit@5/NDCG</x:v>
      </x:c>
      <x:c r="F14" s="42" t="str">
        <x:v>待开发</x:v>
      </x:c>
      <x:c r="H14" t="str">
        <x:v>柳州</x:v>
      </x:c>
      <x:c r="I14" t="n">
        <x:v>66.6</x:v>
      </x:c>
    </x:row>
    <x:row r="15">
      <x:c r="A15" s="42" t="str">
        <x:v>证据解释</x:v>
      </x:c>
      <x:c r="B15" s="42" t="str">
        <x:v>方案明确</x:v>
      </x:c>
      <x:c r="C15" s="42" t="str">
        <x:v>SHAP + 证据卡</x:v>
      </x:c>
      <x:c r="D15" s="42" t="str">
        <x:v>企业规则融合</x:v>
      </x:c>
      <x:c r="E15" s="42" t="str">
        <x:v>证据覆盖率</x:v>
      </x:c>
      <x:c r="F15" s="42" t="str">
        <x:v>待开发</x:v>
      </x:c>
      <x:c r="H15" t="str">
        <x:v>大同</x:v>
      </x:c>
      <x:c r="I15" t="n">
        <x:v>66.4</x:v>
      </x:c>
    </x:row>
    <x:row r="16">
      <x:c r="A16" s="42" t="str">
        <x:v>经营动作</x:v>
      </x:c>
      <x:c r="B16" s="42" t="str">
        <x:v>方案明确</x:v>
      </x:c>
      <x:c r="C16" s="42" t="str">
        <x:v>结构化动作页</x:v>
      </x:c>
      <x:c r="D16" s="42" t="str">
        <x:v>A/B 测试与采纳反馈</x:v>
      </x:c>
      <x:c r="E16" s="42" t="str">
        <x:v>采纳率/转化</x:v>
      </x:c>
      <x:c r="F16" s="42" t="str">
        <x:v>原型已有</x:v>
      </x:c>
      <x:c r="H16" t="str">
        <x:v>芒市</x:v>
      </x:c>
      <x:c r="I16" t="n">
        <x:v>66</x:v>
      </x:c>
    </x:row>
    <x:row r="17">
      <x:c r="A17" s="42" t="str">
        <x:v>游客体验</x:v>
      </x:c>
      <x:c r="B17" s="42" t="str">
        <x:v>CityMuse 可复用</x:v>
      </x:c>
      <x:c r="C17" s="42" t="str">
        <x:v>路线与导览</x:v>
      </x:c>
      <x:c r="D17" s="42" t="str">
        <x:v>平台内联动</x:v>
      </x:c>
      <x:c r="E17" s="42" t="str">
        <x:v>任务完成率</x:v>
      </x:c>
      <x:c r="F17" s="42" t="str">
        <x:v>已有积累</x:v>
      </x:c>
    </x:row>
    <x:row r="18">
      <x:c r="A18" s="42" t="str">
        <x:v>演示稳定性</x:v>
      </x:c>
      <x:c r="B18" s="42" t="str">
        <x:v>脚本已设计</x:v>
      </x:c>
      <x:c r="C18" s="42" t="str">
        <x:v>预录 + 现场双保险</x:v>
      </x:c>
      <x:c r="D18" s="42" t="str">
        <x:v>监控与降级</x:v>
      </x:c>
      <x:c r="E18" s="42" t="str">
        <x:v>3 分钟闭环</x:v>
      </x:c>
      <x:c r="F18" s="42" t="str">
        <x:v>进行中</x:v>
      </x:c>
    </x:row>
    <x:row r="21">
      <x:c r="A21" s="19" t="str">
        <x:v>评委快速检查清单</x:v>
      </x:c>
      <x:c r="B21" s="19"/>
      <x:c r="C21" s="19"/>
      <x:c r="D21" s="19"/>
      <x:c r="E21" s="19"/>
      <x:c r="F21" s="19"/>
    </x:row>
    <x:row r="22">
      <x:c r="A22" s="36" t="str">
        <x:v>检查点</x:v>
      </x:c>
      <x:c r="B22" s="36" t="str">
        <x:v>材料中如何回答</x:v>
      </x:c>
      <x:c r="C22" s="36" t="str"/>
      <x:c r="D22" s="36" t="str">
        <x:v>检查点</x:v>
      </x:c>
      <x:c r="E22" s="36" t="str">
        <x:v>材料中如何回答</x:v>
      </x:c>
      <x:c r="F22" s="36" t="str"/>
    </x:row>
    <x:row r="23">
      <x:c r="A23" s="42" t="str">
        <x:v>问题真实</x:v>
      </x:c>
      <x:c r="B23" s="42" t="str">
        <x:v>赛题与平台经营动作直接相连</x:v>
      </x:c>
      <x:c r="C23" s="42" t="str"/>
      <x:c r="D23" s="42" t="str">
        <x:v>技术非套壳</x:v>
      </x:c>
      <x:c r="E23" s="42" t="str">
        <x:v>核心预测不用大模型拍脑袋</x:v>
      </x:c>
      <x:c r="F23" s="42" t="str"/>
    </x:row>
    <x:row r="24">
      <x:c r="A24" s="42" t="str">
        <x:v>数据可得</x:v>
      </x:c>
      <x:c r="B24" s="42" t="str">
        <x:v>官方/开放/企业授权三层方案</x:v>
      </x:c>
      <x:c r="C24" s="42" t="str"/>
      <x:c r="D24" s="42" t="str">
        <x:v>结果可信</x:v>
      </x:c>
      <x:c r="E24" s="42" t="str">
        <x:v>时间截断、校准、误报与证据覆盖</x:v>
      </x:c>
      <x:c r="F24" s="42" t="str"/>
    </x:row>
    <x:row r="25">
      <x:c r="A25" s="42" t="str">
        <x:v>作品能做</x:v>
      </x:c>
      <x:c r="B25" s="42" t="str">
        <x:v>30-50 城 MVP 与透明基线</x:v>
      </x:c>
      <x:c r="C25" s="42" t="str"/>
      <x:c r="D25" s="42" t="str">
        <x:v>Demo好看</x:v>
      </x:c>
      <x:c r="E25" s="42" t="str">
        <x:v>雷达-详情-动作-回测四页闭环</x:v>
      </x:c>
      <x:c r="F25" s="42" t="str"/>
    </x:row>
    <x:row r="26">
      <x:c r="A26" s="42" t="str">
        <x:v>团队能交付</x:v>
      </x:c>
      <x:c r="B26" s="42" t="str">
        <x:v>三人明确角色与已有项目证据</x:v>
      </x:c>
      <x:c r="C26" s="42" t="str"/>
      <x:c r="D26" s="42" t="str">
        <x:v>可落地</x:v>
      </x:c>
      <x:c r="E26" s="42" t="str">
        <x:v>企业数据可插拔、双阈值与人工复核</x:v>
      </x:c>
      <x:c r="F26" s="42" t="str"/>
    </x:row>
    <x:row r="27">
      <x:c r="A27" s="42" t="str">
        <x:v>风险可控</x:v>
      </x:c>
      <x:c r="B27" s="42" t="str">
        <x:v>模拟/真实边界、隐私与版权说明</x:v>
      </x:c>
      <x:c r="C27" s="42" t="str"/>
      <x:c r="D27" s="42" t="str">
        <x:v>后续价值</x:v>
      </x:c>
      <x:c r="E27" s="42" t="str">
        <x:v>节庆、赛事、演出、影视均可扩展</x:v>
      </x:c>
      <x:c r="F27" s="42" t="str"/>
    </x:row>
    <x:row r="28">
      <x:c r="A28" s="42" t="str">
        <x:v>记忆句</x:v>
      </x:c>
      <x:c r="B28" s="42" t="str">
        <x:v>提前识别、解释并行动</x:v>
      </x:c>
      <x:c r="C28" s="42" t="str"/>
      <x:c r="D28" s="42" t="str">
        <x:v>真实性</x:v>
      </x:c>
      <x:c r="E28" s="42" t="str">
        <x:v>不把目标、模拟数值写成真实成绩</x:v>
      </x:c>
      <x:c r="F28" s="42" t="str"/>
    </x:row>
  </x:sheetData>
  <x:mergeCells>
    <x:mergeCell ref="A1:L2"/>
    <x:mergeCell ref="A3:L3"/>
    <x:mergeCell ref="A5:C8"/>
    <x:mergeCell ref="D5:F8"/>
    <x:mergeCell ref="G5:I8"/>
    <x:mergeCell ref="J5:L8"/>
    <x:mergeCell ref="A10:F10"/>
    <x:mergeCell ref="H10:L10"/>
    <x:mergeCell ref="A21:F21"/>
  </x:mergeCells>
  <x:pageMargins left="0.7" right="0.7" top="0.75" bottom="0.75" header="0.3" footer="0.3"/>
  <x:drawing xmlns:r="http://schemas.openxmlformats.org/officeDocument/2006/relationships" r:id="R1d849822f48a429e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72" hidden="0" customWidth="1"/>
    <x:col min="4" max="4" width="34" hidden="0" customWidth="1"/>
  </x:cols>
  <x:sheetData>
    <x:row r="1">
      <x:c r="A1" s="5" t="str">
        <x:v>公开资料与数据源清单</x:v>
      </x:c>
      <x:c r="B1" s="5"/>
      <x:c r="C1" s="5"/>
      <x:c r="D1" s="5"/>
    </x:row>
    <x:row r="2">
      <x:c r="A2" s="5"/>
      <x:c r="B2" s="5"/>
      <x:c r="C2" s="5"/>
      <x:c r="D2" s="5"/>
    </x:row>
    <x:row r="3">
      <x:c r="A3" s="66" t="str">
        <x:v>生产使用前需逐项核对服务条款、调用额度、版权和个人信息合规要求。</x:v>
      </x:c>
      <x:c r="B3" s="66"/>
      <x:c r="C3" s="66"/>
      <x:c r="D3" s="66"/>
    </x:row>
    <x:row r="5">
      <x:c r="A5" s="36" t="str">
        <x:v>发布方</x:v>
      </x:c>
      <x:c r="B5" s="36" t="str">
        <x:v>资料/接口</x:v>
      </x:c>
      <x:c r="C5" s="36" t="str">
        <x:v>URL</x:v>
      </x:c>
      <x:c r="D5" s="36" t="str">
        <x:v>在方案中的用途</x:v>
      </x:c>
    </x:row>
    <x:row r="6">
      <x:c r="A6" s="42" t="str">
        <x:v>赛事官网</x:v>
      </x:c>
      <x:c r="B6" s="42" t="str">
        <x:v>2026 AI先锋未来人才大赛企业命题与报名入口</x:v>
      </x:c>
      <x:c r="C6" s="42" t="str">
        <x:v>https://activity.feishu.cn/future-talent#challenge</x:v>
      </x:c>
      <x:c r="D6" s="42" t="str">
        <x:v>赛题边界与报名信息</x:v>
      </x:c>
    </x:row>
    <x:row r="7">
      <x:c r="A7" s="42" t="str">
        <x:v>文化和旅游部</x:v>
      </x:c>
      <x:c r="B7" s="42" t="str">
        <x:v>2025年文化和旅游发展统计公报</x:v>
      </x:c>
      <x:c r="C7" s="42" t="str">
        <x:v>https://zwgk.mct.gov.cn/zfxxgkml/tjxx/202606/t20260602_966073.html</x:v>
      </x:c>
      <x:c r="D7" s="42" t="str">
        <x:v>行业规模、景区与供给侧统计</x:v>
      </x:c>
    </x:row>
    <x:row r="8">
      <x:c r="A8" s="42" t="str">
        <x:v>文化和旅游部</x:v>
      </x:c>
      <x:c r="B8" s="42" t="str">
        <x:v>2025年国内居民出游数据情况</x:v>
      </x:c>
      <x:c r="C8" s="42" t="str">
        <x:v>https://zwgk.mct.gov.cn/zfxxgkml/tjxx/202601/t20260126_964367.html</x:v>
      </x:c>
      <x:c r="D8" s="42" t="str">
        <x:v>旅游人次与花费的权威基准</x:v>
      </x:c>
    </x:row>
    <x:row r="9">
      <x:c r="A9" s="42" t="str">
        <x:v>高德开放平台</x:v>
      </x:c>
      <x:c r="B9" s="42" t="str">
        <x:v>搜索POI 2.0</x:v>
      </x:c>
      <x:c r="C9" s="42" t="str">
        <x:v>https://lbs.amap.com/api/webservice/guide/api-advanced/newpoisearch</x:v>
      </x:c>
      <x:c r="D9" s="42" t="str">
        <x:v>景点、住宿、餐饮等供给特征</x:v>
      </x:c>
    </x:row>
    <x:row r="10">
      <x:c r="A10" s="42" t="str">
        <x:v>高德开放平台</x:v>
      </x:c>
      <x:c r="B10" s="42" t="str">
        <x:v>天气查询</x:v>
      </x:c>
      <x:c r="C10" s="42" t="str">
        <x:v>https://lbs.amap.com/api/webservice/guide/api/weatherinfo</x:v>
      </x:c>
      <x:c r="D10" s="42" t="str">
        <x:v>当前与未来天气特征</x:v>
      </x:c>
    </x:row>
    <x:row r="11">
      <x:c r="A11" s="42" t="str">
        <x:v>高德开放平台</x:v>
      </x:c>
      <x:c r="B11" s="42" t="str">
        <x:v>行政区域查询</x:v>
      </x:c>
      <x:c r="C11" s="42" t="str">
        <x:v>https://lbs.amap.com/api/webservice/guide/api/district</x:v>
      </x:c>
      <x:c r="D11" s="42" t="str">
        <x:v>城市层级与边界信息</x:v>
      </x:c>
    </x:row>
    <x:row r="12">
      <x:c r="A12" s="42" t="str">
        <x:v>高德开放平台</x:v>
      </x:c>
      <x:c r="B12" s="42" t="str">
        <x:v>路径规划</x:v>
      </x:c>
      <x:c r="C12" s="42" t="str">
        <x:v>https://lbs.amap.com/api/webservice/guide/api/newroute</x:v>
      </x:c>
      <x:c r="D12" s="42" t="str">
        <x:v>客源可达性与出行时间</x:v>
      </x:c>
    </x:row>
    <x:row r="13">
      <x:c r="A13" s="42" t="str">
        <x:v>国家统计局</x:v>
      </x:c>
      <x:c r="B13" s="42" t="str">
        <x:v>中国统计年鉴</x:v>
      </x:c>
      <x:c r="C13" s="42" t="str">
        <x:v>https://www.stats.gov.cn/sj/ndsj/</x:v>
      </x:c>
      <x:c r="D13" s="42" t="str">
        <x:v>城市与社会经济基准数据</x:v>
      </x:c>
    </x:row>
    <x:row r="14">
      <x:c r="A14" s="42" t="str">
        <x:v>民政部</x:v>
      </x:c>
      <x:c r="B14" s="42" t="str">
        <x:v>行政区划代码</x:v>
      </x:c>
      <x:c r="C14" s="42" t="str">
        <x:v>https://www.mca.gov.cn/n156/n186/index.html</x:v>
      </x:c>
      <x:c r="D14" s="42" t="str">
        <x:v>统一城市实体与行政区划版本</x:v>
      </x:c>
    </x:row>
    <x:row r="15">
      <x:c r="A15" s="42" t="str">
        <x:v>arXiv</x:v>
      </x:c>
      <x:c r="B15" s="42" t="str">
        <x:v>ChinaTravel: A Real-World Benchmark for Language Agents in Chinese Travel Planning</x:v>
      </x:c>
      <x:c r="C15" s="42" t="str">
        <x:v>https://arxiv.org/abs/2412.13682</x:v>
      </x:c>
      <x:c r="D15" s="42" t="str">
        <x:v>旅行规划Agent评测参考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c2502db052464558"/>
  </x:tableParts>
</x:worksheet>
</file>